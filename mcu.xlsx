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USER\Desktop\Excel_Data_Analytics_Course-main\Kaggle\"/>
    </mc:Choice>
  </mc:AlternateContent>
  <xr:revisionPtr revIDLastSave="0" documentId="13_ncr:1_{1F0E8614-3E4D-4F9D-8DDF-D78441010F6C}" xr6:coauthVersionLast="47" xr6:coauthVersionMax="47" xr10:uidLastSave="{00000000-0000-0000-0000-000000000000}"/>
  <bookViews>
    <workbookView xWindow="-120" yWindow="-120" windowWidth="20730" windowHeight="11160" xr2:uid="{0B011C74-7B3F-4229-8D3D-D6F9036DC146}"/>
  </bookViews>
  <sheets>
    <sheet name="Dashboard" sheetId="5" r:id="rId1"/>
    <sheet name="Calculations" sheetId="7" r:id="rId2"/>
    <sheet name="mcu_cleaned" sheetId="3" r:id="rId3"/>
    <sheet name="mcu" sheetId="1" r:id="rId4"/>
    <sheet name="Data_Cleaning_Report" sheetId="2" r:id="rId5"/>
  </sheets>
  <definedNames>
    <definedName name="ExternalData_1" localSheetId="2" hidden="1">mcu_cleaned!$A$1:$M$63</definedName>
    <definedName name="Slicer_mcu_phase">#N/A</definedName>
    <definedName name="Slicer_movie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B5" i="7"/>
  <c r="B4" i="7"/>
  <c r="B3" i="7"/>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K2" i="1"/>
  <c r="L2" i="1" s="1"/>
  <c r="K3" i="1"/>
  <c r="L3" i="1" s="1"/>
  <c r="K4" i="1"/>
  <c r="L4" i="1" s="1"/>
  <c r="K5" i="1"/>
  <c r="L5" i="1" s="1"/>
  <c r="K6" i="1"/>
  <c r="L6" i="1" s="1"/>
  <c r="K7" i="1"/>
  <c r="L7" i="1" s="1"/>
  <c r="K8" i="1"/>
  <c r="L8" i="1" s="1"/>
  <c r="K9" i="1"/>
  <c r="L9" i="1" s="1"/>
  <c r="K10" i="1"/>
  <c r="L10" i="1" s="1"/>
  <c r="K11" i="1"/>
  <c r="L11" i="1" s="1"/>
  <c r="K12" i="1"/>
  <c r="L12" i="1" s="1"/>
  <c r="K13" i="1"/>
  <c r="L13" i="1" s="1"/>
  <c r="K14" i="1"/>
  <c r="L14" i="1" s="1"/>
  <c r="K15" i="1"/>
  <c r="L15" i="1" s="1"/>
  <c r="K16" i="1"/>
  <c r="L16" i="1" s="1"/>
  <c r="K17" i="1"/>
  <c r="L17" i="1" s="1"/>
  <c r="K18" i="1"/>
  <c r="L18" i="1" s="1"/>
  <c r="K19" i="1"/>
  <c r="L19" i="1" s="1"/>
  <c r="K20" i="1"/>
  <c r="L20" i="1" s="1"/>
  <c r="K21" i="1"/>
  <c r="L21" i="1" s="1"/>
  <c r="K22" i="1"/>
  <c r="L22" i="1" s="1"/>
  <c r="K23" i="1"/>
  <c r="L23" i="1" s="1"/>
  <c r="K24" i="1"/>
  <c r="L24" i="1" s="1"/>
  <c r="K25" i="1"/>
  <c r="L25" i="1" s="1"/>
  <c r="K26" i="1"/>
  <c r="L26" i="1" s="1"/>
  <c r="K27" i="1"/>
  <c r="L27" i="1" s="1"/>
  <c r="K28" i="1"/>
  <c r="L28" i="1" s="1"/>
  <c r="K29" i="1"/>
  <c r="L29" i="1" s="1"/>
  <c r="K30" i="1"/>
  <c r="L30" i="1" s="1"/>
  <c r="K31" i="1"/>
  <c r="L31" i="1" s="1"/>
  <c r="K32" i="1"/>
  <c r="L32" i="1" s="1"/>
  <c r="K33" i="1"/>
  <c r="L33" i="1" s="1"/>
  <c r="K34" i="1"/>
  <c r="L34" i="1" s="1"/>
  <c r="K35" i="1"/>
  <c r="L35" i="1" s="1"/>
  <c r="K36" i="1"/>
  <c r="L36" i="1" s="1"/>
  <c r="K37" i="1"/>
  <c r="L37" i="1" s="1"/>
  <c r="K38" i="1"/>
  <c r="L38" i="1" s="1"/>
  <c r="K39" i="1"/>
  <c r="L39" i="1" s="1"/>
  <c r="K40" i="1"/>
  <c r="L40" i="1" s="1"/>
  <c r="K41" i="1"/>
  <c r="L41" i="1" s="1"/>
  <c r="K42" i="1"/>
  <c r="L42" i="1" s="1"/>
  <c r="K43" i="1"/>
  <c r="L43" i="1" s="1"/>
  <c r="K44" i="1"/>
  <c r="L44" i="1" s="1"/>
  <c r="K45" i="1"/>
  <c r="L45" i="1" s="1"/>
  <c r="K46" i="1"/>
  <c r="L46" i="1" s="1"/>
  <c r="K47" i="1"/>
  <c r="L47" i="1" s="1"/>
  <c r="K48" i="1"/>
  <c r="L48" i="1" s="1"/>
  <c r="K49" i="1"/>
  <c r="L49" i="1" s="1"/>
  <c r="K50" i="1"/>
  <c r="L50" i="1" s="1"/>
  <c r="K51" i="1"/>
  <c r="L51" i="1" s="1"/>
  <c r="K52" i="1"/>
  <c r="L52" i="1" s="1"/>
  <c r="K53" i="1"/>
  <c r="L53" i="1" s="1"/>
  <c r="K54" i="1"/>
  <c r="L54" i="1" s="1"/>
  <c r="K55" i="1"/>
  <c r="L55" i="1" s="1"/>
  <c r="K56" i="1"/>
  <c r="L56" i="1" s="1"/>
  <c r="K57" i="1"/>
  <c r="L57" i="1" s="1"/>
  <c r="K58" i="1"/>
  <c r="L58" i="1" s="1"/>
  <c r="K59" i="1"/>
  <c r="L59" i="1" s="1"/>
  <c r="K60" i="1"/>
  <c r="L60" i="1" s="1"/>
  <c r="K61" i="1"/>
  <c r="L61" i="1" s="1"/>
  <c r="K62" i="1"/>
  <c r="L62" i="1" s="1"/>
  <c r="K63" i="1"/>
  <c r="L63"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434961-2215-4CE8-B9E0-C8B4FEDE3364}" keepAlive="1" name="Query - mcu_cleaned" description="Connection to the 'mcu_cleaned' query in the workbook." type="5" refreshedVersion="8" background="1" saveData="1">
    <dbPr connection="Provider=Microsoft.Mashup.OleDb.1;Data Source=$Workbook$;Location=mcu_cleaned;Extended Properties=&quot;&quot;" command="SELECT * FROM [mcu_cleaned]"/>
  </connection>
</connections>
</file>

<file path=xl/sharedStrings.xml><?xml version="1.0" encoding="utf-8"?>
<sst xmlns="http://schemas.openxmlformats.org/spreadsheetml/2006/main" count="634" uniqueCount="111">
  <si>
    <t>movie_title</t>
  </si>
  <si>
    <t>mcu_phase</t>
  </si>
  <si>
    <t>release_date</t>
  </si>
  <si>
    <t>tomato_meter</t>
  </si>
  <si>
    <t>audience_score</t>
  </si>
  <si>
    <t>movie_duration</t>
  </si>
  <si>
    <t>production_budget</t>
  </si>
  <si>
    <t>opening_weekend</t>
  </si>
  <si>
    <t>domestic_box_office</t>
  </si>
  <si>
    <t>worldwide_box_office</t>
  </si>
  <si>
    <t>Iron Man</t>
  </si>
  <si>
    <t>Phase 1</t>
  </si>
  <si>
    <t>The Incredible Hulk</t>
  </si>
  <si>
    <t>Iron Man 2</t>
  </si>
  <si>
    <t>Thor</t>
  </si>
  <si>
    <t>Captain America The First Avenger</t>
  </si>
  <si>
    <t>The Avengers</t>
  </si>
  <si>
    <t>Iron Man 3</t>
  </si>
  <si>
    <t>Phase 2</t>
  </si>
  <si>
    <t>Thor The Dark World</t>
  </si>
  <si>
    <t>Captain America The Winter Soldier</t>
  </si>
  <si>
    <t>Guardians of the Galaxy</t>
  </si>
  <si>
    <t>Avengers Age of Ultron</t>
  </si>
  <si>
    <t>Ant-Man</t>
  </si>
  <si>
    <t>Captain America Civil War</t>
  </si>
  <si>
    <t>Phase 3</t>
  </si>
  <si>
    <t>Doctor Strange</t>
  </si>
  <si>
    <t>Guardians of the Galaxy Vol. 2</t>
  </si>
  <si>
    <t>Spider-Man Homecoming</t>
  </si>
  <si>
    <t>Black Panther</t>
  </si>
  <si>
    <t>Avengers Infinity War</t>
  </si>
  <si>
    <t>Ant-Man and the Wasp</t>
  </si>
  <si>
    <t>Captain Marvel</t>
  </si>
  <si>
    <t>Avengers Endgame</t>
  </si>
  <si>
    <t>Spider-Man Far From Home</t>
  </si>
  <si>
    <t>Black Widow</t>
  </si>
  <si>
    <t>Phase 4</t>
  </si>
  <si>
    <t>Shang-Chi and the Legend of the Ten Rings</t>
  </si>
  <si>
    <t>Spider-Man No Way Home</t>
  </si>
  <si>
    <t>Doctor Strange in the Multiverse of Madness</t>
  </si>
  <si>
    <t>Thor Love and Thunder</t>
  </si>
  <si>
    <t>Black Panther Wakanda Forever</t>
  </si>
  <si>
    <t>Ant-Man and the Wasp Quantumania</t>
  </si>
  <si>
    <t>Phase 5</t>
  </si>
  <si>
    <t>Guardians of the Galaxy Vol. 3</t>
  </si>
  <si>
    <t>The Marvels</t>
  </si>
  <si>
    <t>Deadpool &amp; Wolverine</t>
  </si>
  <si>
    <t>Captain America Brave New World</t>
  </si>
  <si>
    <t>Thunderbolts</t>
  </si>
  <si>
    <t>The Fantastic Four First Steps</t>
  </si>
  <si>
    <t>Phase 6</t>
  </si>
  <si>
    <t>Spider-Man Brand New Day</t>
  </si>
  <si>
    <t>WandaVision</t>
  </si>
  <si>
    <t>The Falcon and the Winter Soldier</t>
  </si>
  <si>
    <t>Loki</t>
  </si>
  <si>
    <t>What If...</t>
  </si>
  <si>
    <t>Hawkeye</t>
  </si>
  <si>
    <t>Moon Knight</t>
  </si>
  <si>
    <t>Ms. Marvel</t>
  </si>
  <si>
    <t>She-Hulk Attorney-at-Law</t>
  </si>
  <si>
    <t>Secret Invasion</t>
  </si>
  <si>
    <t>Loki Season 2</t>
  </si>
  <si>
    <t>What If... Season 2</t>
  </si>
  <si>
    <t>Echo</t>
  </si>
  <si>
    <t>X-Men '97</t>
  </si>
  <si>
    <t>Agatha All Along</t>
  </si>
  <si>
    <t>Your Friendly Neighborhood Spider-Man</t>
  </si>
  <si>
    <t>Daredevil Born Again</t>
  </si>
  <si>
    <t>Ironheart</t>
  </si>
  <si>
    <t>Eyes of Wakanda</t>
  </si>
  <si>
    <t>Marvel Zombies</t>
  </si>
  <si>
    <t>Wonder Man</t>
  </si>
  <si>
    <t>Your Friendly Neighborhood Spider-Man Season 2</t>
  </si>
  <si>
    <t>Daredevil Born Again Season 2</t>
  </si>
  <si>
    <t>The Punisher One Last Kill</t>
  </si>
  <si>
    <t>X-Men '97 Season 2</t>
  </si>
  <si>
    <t>DATA CLEANING REPORT</t>
  </si>
  <si>
    <t>S/N</t>
  </si>
  <si>
    <t>The whole data was converted into a table</t>
  </si>
  <si>
    <t>Data types for each column was checked and changed. Production budget, opening weekend, domestic box-office and worldwide box-office columns were changed to currency.</t>
  </si>
  <si>
    <t>Procedure</t>
  </si>
  <si>
    <t>A helper column was used to check if all dates are stored properly using th ISNUMBER() function which returned TRUE for all rows.</t>
  </si>
  <si>
    <t>Thor Ragnullrok</t>
  </si>
  <si>
    <t>Eternullls</t>
  </si>
  <si>
    <t>null</t>
  </si>
  <si>
    <t>Using power query, further data cleaning was done (trim, clean) on the text columns, then changed the format to currency for the money columns.</t>
  </si>
  <si>
    <t>Above returned error after changing currency in power query, then using find and replace in the main mcu data, the "NA" was replaced with "null" and all errors were fixed.</t>
  </si>
  <si>
    <t>Row Labels</t>
  </si>
  <si>
    <t>Grand Total</t>
  </si>
  <si>
    <t>Sum of tomato_meter</t>
  </si>
  <si>
    <t>Sum of audience_score</t>
  </si>
  <si>
    <t>Sum of worldwide_box_office</t>
  </si>
  <si>
    <t>net_profit</t>
  </si>
  <si>
    <t>movie_type</t>
  </si>
  <si>
    <t>roi</t>
  </si>
  <si>
    <t>A helper column was added to calculate the ROI  for each movie by dividing the net profit by the production budget then changing the column format to currency</t>
  </si>
  <si>
    <t>Another helper column was added to group the movies into two categories. Movie represented the ones with production budget, while "TV Show" represented the ones with no production budget.</t>
  </si>
  <si>
    <t>Movie</t>
  </si>
  <si>
    <t>TV Show</t>
  </si>
  <si>
    <t>Sum of net_profit</t>
  </si>
  <si>
    <t>Average of roi</t>
  </si>
  <si>
    <t>Sum of roi</t>
  </si>
  <si>
    <t>Calculations &amp; Pivot Tables</t>
  </si>
  <si>
    <t>Total Revenue</t>
  </si>
  <si>
    <t>Net Profit</t>
  </si>
  <si>
    <t>Average ROI</t>
  </si>
  <si>
    <t>Average Duration</t>
  </si>
  <si>
    <t>(All)</t>
  </si>
  <si>
    <t>Average of movie_duration</t>
  </si>
  <si>
    <t>A helper column was added to calculate net profit by subtracting production budget from worldwide box-office revenue. An IFERROR() was wrapped around it to avoid Excel error due to missing values.</t>
  </si>
  <si>
    <t>Overall, the data contained less data quality issues. Further analysis and visualization was done as shown in the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</si>
</sst>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quot;$&quot;#,##0"/>
    <numFmt numFmtId="166" formatCode="0.0%"/>
    <numFmt numFmtId="167" formatCode="&quot;$&quot;#,##0.0,,,&quot;B&quot;"/>
    <numFmt numFmtId="168" formatCode="0.0&quot;Mins&quot;"/>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4"/>
      <color theme="5"/>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164" fontId="0" fillId="0" borderId="0" xfId="1" applyNumberFormat="1" applyFont="1"/>
    <xf numFmtId="164" fontId="0" fillId="0" borderId="0" xfId="0" applyNumberFormat="1"/>
    <xf numFmtId="0" fontId="16" fillId="0" borderId="0" xfId="0" applyFont="1" applyAlignment="1">
      <alignment horizontal="center"/>
    </xf>
    <xf numFmtId="1" fontId="0" fillId="0" borderId="0" xfId="0" applyNumberFormat="1"/>
    <xf numFmtId="0" fontId="0" fillId="0" borderId="0" xfId="0" pivotButton="1"/>
    <xf numFmtId="0" fontId="0" fillId="0" borderId="0" xfId="0" applyAlignment="1">
      <alignment horizontal="left"/>
    </xf>
    <xf numFmtId="166" fontId="0" fillId="0" borderId="0" xfId="0" applyNumberFormat="1"/>
    <xf numFmtId="9" fontId="0" fillId="0" borderId="0" xfId="2" applyFont="1"/>
    <xf numFmtId="166" fontId="0" fillId="0" borderId="0" xfId="2" applyNumberFormat="1" applyFont="1"/>
    <xf numFmtId="0" fontId="11" fillId="6" borderId="4" xfId="13"/>
    <xf numFmtId="167" fontId="0" fillId="0" borderId="0" xfId="0" applyNumberFormat="1"/>
    <xf numFmtId="0" fontId="19" fillId="0" borderId="0" xfId="0" applyFont="1" applyAlignment="1">
      <alignment horizontal="center"/>
    </xf>
    <xf numFmtId="0" fontId="16" fillId="0" borderId="0" xfId="0" applyFont="1" applyAlignment="1">
      <alignment horizontal="center"/>
    </xf>
    <xf numFmtId="0" fontId="0" fillId="0" borderId="0" xfId="0" applyNumberFormat="1"/>
    <xf numFmtId="168" fontId="0" fillId="0" borderId="0" xfId="0" applyNumberFormat="1"/>
    <xf numFmtId="0" fontId="0" fillId="0" borderId="0" xfId="0" applyAlignment="1">
      <alignment horizontal="left"/>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5">
    <dxf>
      <fill>
        <patternFill patternType="darkGray">
          <fgColor rgb="FFC8102E"/>
          <bgColor rgb="FFC00000"/>
        </patternFill>
      </fill>
    </dxf>
    <dxf>
      <numFmt numFmtId="167" formatCode="&quot;$&quot;#,##0.0,,,&quot;B&quot;"/>
    </dxf>
    <dxf>
      <numFmt numFmtId="167" formatCode="&quot;$&quot;#,##0.0,,,&quot;B&quot;"/>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 formatCode="0"/>
    </dxf>
    <dxf>
      <numFmt numFmtId="1" formatCode="0"/>
    </dxf>
    <dxf>
      <numFmt numFmtId="19" formatCode="m/d/yyyy"/>
    </dxf>
    <dxf>
      <numFmt numFmtId="19" formatCode="m/d/yyyy"/>
    </dxf>
    <dxf>
      <numFmt numFmtId="0" formatCode="General"/>
    </dxf>
    <dxf>
      <numFmt numFmtId="0" formatCode="General"/>
    </dxf>
  </dxfs>
  <tableStyles count="2" defaultTableStyle="TableStyleMedium2" defaultPivotStyle="PivotStyleLight16">
    <tableStyle name="Slicer Style 1" pivot="0" table="0" count="1" xr9:uid="{4AB0CDFC-5565-4DF5-9A4B-ABC878FC8528}">
      <tableStyleElement type="wholeTable" dxfId="0"/>
    </tableStyle>
    <tableStyle name="Slicer Style 2" pivot="0" table="0" count="2" xr9:uid="{58256AA2-2E4B-4801-A2A3-88D4C035B400}"/>
  </tableStyles>
  <colors>
    <mruColors>
      <color rgb="FFC8102E"/>
      <color rgb="FF1E293B"/>
      <color rgb="FF64748B"/>
      <color rgb="FF1D4ED8"/>
      <color rgb="FF0F172A"/>
      <color rgb="FFF4C430"/>
      <color rgb="FFEF772D"/>
    </mruColors>
  </colors>
  <extLst>
    <ext xmlns:x14="http://schemas.microsoft.com/office/spreadsheetml/2009/9/main" uri="{46F421CA-312F-682f-3DD2-61675219B42D}">
      <x14:dxfs count="2">
        <dxf>
          <fill>
            <patternFill>
              <bgColor theme="3"/>
            </patternFill>
          </fill>
        </dxf>
        <dxf>
          <fill>
            <patternFill>
              <bgColor rgb="FFC8102E"/>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[mcu.xlsx]Calculations!PivotTable12</c:name>
    <c:fmtId val="11"/>
  </c:pivotSource>
  <c:chart>
    <c:title>
      <c:tx>
        <c:rich>
          <a:bodyPr rot="0" spcFirstLastPara="1" vertOverflow="ellipsis" vert="horz" wrap="square" anchor="ctr" anchorCtr="1"/>
          <a:lstStyle/>
          <a:p>
            <a:pPr>
              <a:defRPr sz="1600" b="1" i="0" u="none" strike="noStrike" kern="1200" spc="0" baseline="0">
                <a:solidFill>
                  <a:srgbClr val="0F172A"/>
                </a:solidFill>
                <a:latin typeface="+mn-lt"/>
                <a:ea typeface="+mn-ea"/>
                <a:cs typeface="+mn-cs"/>
              </a:defRPr>
            </a:pPr>
            <a:r>
              <a:rPr lang="en-US" sz="1600" b="1">
                <a:solidFill>
                  <a:srgbClr val="0F172A"/>
                </a:solidFill>
              </a:rPr>
              <a:t>Net</a:t>
            </a:r>
            <a:r>
              <a:rPr lang="en-US" sz="1600" b="1" baseline="0">
                <a:solidFill>
                  <a:srgbClr val="0F172A"/>
                </a:solidFill>
              </a:rPr>
              <a:t> Profit By Phase &amp; Average % ROI</a:t>
            </a:r>
            <a:endParaRPr lang="en-US" sz="1600" b="1">
              <a:solidFill>
                <a:srgbClr val="0F172A"/>
              </a:solidFill>
            </a:endParaRPr>
          </a:p>
        </c:rich>
      </c:tx>
      <c:layout>
        <c:manualLayout>
          <c:xMode val="edge"/>
          <c:yMode val="edge"/>
          <c:x val="0.25164095456846935"/>
          <c:y val="3.991497459841630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0F172A"/>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1D4ED8"/>
            </a:solidFill>
            <a:round/>
          </a:ln>
          <a:effectLst/>
        </c:spPr>
        <c:marker>
          <c:symbol val="circle"/>
          <c:size val="5"/>
          <c:spPr>
            <a:solidFill>
              <a:schemeClr val="accent1"/>
            </a:solidFill>
            <a:ln w="9525">
              <a:solidFill>
                <a:schemeClr val="accent1"/>
              </a:solidFill>
            </a:ln>
            <a:effectLst/>
          </c:spPr>
        </c:marker>
        <c:dLbl>
          <c:idx val="0"/>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4C430"/>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1D4ED8"/>
            </a:solidFill>
            <a:round/>
          </a:ln>
          <a:effectLst/>
        </c:spPr>
        <c:marker>
          <c:symbol val="circle"/>
          <c:size val="5"/>
          <c:spPr>
            <a:solidFill>
              <a:schemeClr val="accent1"/>
            </a:solidFill>
            <a:ln w="9525">
              <a:solidFill>
                <a:schemeClr val="accent1"/>
              </a:solidFill>
            </a:ln>
            <a:effectLst/>
          </c:spPr>
        </c:marker>
        <c:dLbl>
          <c:idx val="0"/>
          <c:layout>
            <c:manualLayout>
              <c:x val="4.4170662004642994E-2"/>
              <c:y val="-2.5346802853793936E-2"/>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F4C430"/>
            </a:solidFill>
            <a:round/>
          </a:ln>
          <a:effectLst/>
        </c:spPr>
        <c:marker>
          <c:symbol val="circle"/>
          <c:size val="5"/>
          <c:spPr>
            <a:solidFill>
              <a:schemeClr val="accent2"/>
            </a:solidFill>
            <a:ln w="9525">
              <a:solidFill>
                <a:schemeClr val="accent2"/>
              </a:solidFill>
            </a:ln>
            <a:effectLst/>
          </c:spPr>
        </c:marker>
        <c:dLbl>
          <c:idx val="0"/>
          <c:layout>
            <c:manualLayout>
              <c:x val="-5.4608183926117299E-2"/>
              <c:y val="-6.8290813025099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1D4ED8"/>
            </a:solidFill>
            <a:round/>
          </a:ln>
          <a:effectLst/>
        </c:spPr>
        <c:marker>
          <c:symbol val="circle"/>
          <c:size val="5"/>
          <c:spPr>
            <a:solidFill>
              <a:schemeClr val="accent1"/>
            </a:solidFill>
            <a:ln w="9525">
              <a:solidFill>
                <a:schemeClr val="accent1"/>
              </a:solidFill>
            </a:ln>
            <a:effectLst/>
          </c:spPr>
        </c:marker>
        <c:dLbl>
          <c:idx val="0"/>
          <c:layout>
            <c:manualLayout>
              <c:x val="1.4461349284659701E-3"/>
              <c:y val="-2.9250803778458092E-2"/>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F4C430"/>
            </a:solidFill>
            <a:round/>
          </a:ln>
          <a:effectLst/>
        </c:spPr>
        <c:marker>
          <c:symbol val="circle"/>
          <c:size val="5"/>
          <c:spPr>
            <a:solidFill>
              <a:schemeClr val="accent2"/>
            </a:solidFill>
            <a:ln w="9525">
              <a:solidFill>
                <a:schemeClr val="accent2"/>
              </a:solidFill>
            </a:ln>
            <a:effectLst/>
          </c:spPr>
        </c:marker>
        <c:dLbl>
          <c:idx val="0"/>
          <c:layout>
            <c:manualLayout>
              <c:x val="1.7223284461239309E-3"/>
              <c:y val="-5.26748093264430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1D4ED8"/>
            </a:solidFill>
            <a:round/>
          </a:ln>
          <a:effectLst/>
        </c:spPr>
        <c:marker>
          <c:symbol val="circle"/>
          <c:size val="5"/>
          <c:spPr>
            <a:solidFill>
              <a:schemeClr val="accent1"/>
            </a:solidFill>
            <a:ln w="9525">
              <a:solidFill>
                <a:schemeClr val="accent1"/>
              </a:solidFill>
            </a:ln>
            <a:effectLst/>
          </c:spPr>
        </c:marker>
        <c:dLbl>
          <c:idx val="0"/>
          <c:layout>
            <c:manualLayout>
              <c:x val="-5.921749378010159E-2"/>
              <c:y val="-6.4386812100435495E-2"/>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F4C430"/>
            </a:solidFill>
            <a:round/>
          </a:ln>
          <a:effectLst/>
        </c:spPr>
        <c:marker>
          <c:symbol val="circle"/>
          <c:size val="5"/>
          <c:spPr>
            <a:solidFill>
              <a:schemeClr val="accent2"/>
            </a:solidFill>
            <a:ln w="9525">
              <a:solidFill>
                <a:schemeClr val="accent2"/>
              </a:solidFill>
            </a:ln>
            <a:effectLst/>
          </c:spPr>
        </c:marker>
        <c:dLbl>
          <c:idx val="0"/>
          <c:layout>
            <c:manualLayout>
              <c:x val="7.0737271214868554E-3"/>
              <c:y val="-3.163224434250322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1D4ED8"/>
            </a:solidFill>
            <a:round/>
          </a:ln>
          <a:effectLst/>
        </c:spPr>
        <c:marker>
          <c:symbol val="circle"/>
          <c:size val="5"/>
          <c:spPr>
            <a:solidFill>
              <a:schemeClr val="accent1"/>
            </a:solidFill>
            <a:ln w="9525">
              <a:solidFill>
                <a:schemeClr val="accent1"/>
              </a:solidFill>
            </a:ln>
            <a:effectLst/>
          </c:spPr>
        </c:marker>
        <c:dLbl>
          <c:idx val="0"/>
          <c:layout>
            <c:manualLayout>
              <c:x val="-6.4482230128737994E-2"/>
              <c:y val="-5.1152248965824008E-2"/>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497275315688908E-2"/>
          <c:y val="0.20314440095639641"/>
          <c:w val="0.82921977888453147"/>
          <c:h val="0.59175120574465268"/>
        </c:manualLayout>
      </c:layout>
      <c:lineChart>
        <c:grouping val="standard"/>
        <c:varyColors val="0"/>
        <c:ser>
          <c:idx val="0"/>
          <c:order val="0"/>
          <c:tx>
            <c:strRef>
              <c:f>Calculations!$B$8</c:f>
              <c:strCache>
                <c:ptCount val="1"/>
                <c:pt idx="0">
                  <c:v>Sum of net_profit</c:v>
                </c:pt>
              </c:strCache>
            </c:strRef>
          </c:tx>
          <c:spPr>
            <a:ln w="28575" cap="rnd">
              <a:solidFill>
                <a:srgbClr val="1D4ED8"/>
              </a:solidFill>
              <a:round/>
            </a:ln>
            <a:effectLst/>
          </c:spPr>
          <c:marker>
            <c:symbol val="circle"/>
            <c:size val="5"/>
            <c:spPr>
              <a:solidFill>
                <a:schemeClr val="accent1"/>
              </a:solidFill>
              <a:ln w="9525">
                <a:solidFill>
                  <a:schemeClr val="accent1"/>
                </a:solidFill>
              </a:ln>
              <a:effectLst/>
            </c:spPr>
          </c:marker>
          <c:dLbls>
            <c:dLbl>
              <c:idx val="0"/>
              <c:layout>
                <c:manualLayout>
                  <c:x val="-5.921749378010159E-2"/>
                  <c:y val="-6.43868121004354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5D0-4AF4-80DF-28F3CA3E8237}"/>
                </c:ext>
              </c:extLst>
            </c:dLbl>
            <c:dLbl>
              <c:idx val="1"/>
              <c:layout>
                <c:manualLayout>
                  <c:x val="1.4461349284659701E-3"/>
                  <c:y val="-2.92508037784580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5D0-4AF4-80DF-28F3CA3E8237}"/>
                </c:ext>
              </c:extLst>
            </c:dLbl>
            <c:dLbl>
              <c:idx val="2"/>
              <c:layout>
                <c:manualLayout>
                  <c:x val="4.4170662004642994E-2"/>
                  <c:y val="-2.53468028537939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5D0-4AF4-80DF-28F3CA3E8237}"/>
                </c:ext>
              </c:extLst>
            </c:dLbl>
            <c:dLbl>
              <c:idx val="5"/>
              <c:layout>
                <c:manualLayout>
                  <c:x val="-6.4482230128737994E-2"/>
                  <c:y val="-5.1152248965824008E-2"/>
                </c:manualLayout>
              </c:layout>
              <c:dLblPos val="r"/>
              <c:showLegendKey val="0"/>
              <c:showVal val="1"/>
              <c:showCatName val="0"/>
              <c:showSerName val="0"/>
              <c:showPercent val="0"/>
              <c:showBubbleSize val="0"/>
              <c:extLst>
                <c:ext xmlns:c15="http://schemas.microsoft.com/office/drawing/2012/chart" uri="{CE6537A1-D6FC-4f65-9D91-7224C49458BB}"/>
              </c:extLst>
            </c:dLbl>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Calculations!$A$9:$A$15</c:f>
              <c:strCache>
                <c:ptCount val="6"/>
                <c:pt idx="0">
                  <c:v>Phase 1</c:v>
                </c:pt>
                <c:pt idx="1">
                  <c:v>Phase 2</c:v>
                </c:pt>
                <c:pt idx="2">
                  <c:v>Phase 3</c:v>
                </c:pt>
                <c:pt idx="3">
                  <c:v>Phase 4</c:v>
                </c:pt>
                <c:pt idx="4">
                  <c:v>Phase 5</c:v>
                </c:pt>
                <c:pt idx="5">
                  <c:v>Phase 6</c:v>
                </c:pt>
              </c:strCache>
            </c:strRef>
          </c:cat>
          <c:val>
            <c:numRef>
              <c:f>Calculations!$B$9:$B$15</c:f>
              <c:numCache>
                <c:formatCode>"$"#,##0</c:formatCode>
                <c:ptCount val="6"/>
                <c:pt idx="0">
                  <c:v>2823735875</c:v>
                </c:pt>
                <c:pt idx="1">
                  <c:v>4056814362</c:v>
                </c:pt>
                <c:pt idx="2">
                  <c:v>11179356288</c:v>
                </c:pt>
                <c:pt idx="3">
                  <c:v>4226532933</c:v>
                </c:pt>
                <c:pt idx="4">
                  <c:v>2383375921</c:v>
                </c:pt>
                <c:pt idx="5">
                  <c:v>2321374241</c:v>
                </c:pt>
              </c:numCache>
            </c:numRef>
          </c:val>
          <c:smooth val="0"/>
          <c:extLst>
            <c:ext xmlns:c16="http://schemas.microsoft.com/office/drawing/2014/chart" uri="{C3380CC4-5D6E-409C-BE32-E72D297353CC}">
              <c16:uniqueId val="{00000000-D1B6-431E-8E35-96D7DE0C5146}"/>
            </c:ext>
          </c:extLst>
        </c:ser>
        <c:dLbls>
          <c:showLegendKey val="0"/>
          <c:showVal val="0"/>
          <c:showCatName val="0"/>
          <c:showSerName val="0"/>
          <c:showPercent val="0"/>
          <c:showBubbleSize val="0"/>
        </c:dLbls>
        <c:marker val="1"/>
        <c:smooth val="0"/>
        <c:axId val="913299887"/>
        <c:axId val="913300367"/>
      </c:lineChart>
      <c:lineChart>
        <c:grouping val="standard"/>
        <c:varyColors val="0"/>
        <c:ser>
          <c:idx val="1"/>
          <c:order val="1"/>
          <c:tx>
            <c:strRef>
              <c:f>Calculations!$C$8</c:f>
              <c:strCache>
                <c:ptCount val="1"/>
                <c:pt idx="0">
                  <c:v>Average of roi</c:v>
                </c:pt>
              </c:strCache>
            </c:strRef>
          </c:tx>
          <c:spPr>
            <a:ln w="28575" cap="rnd">
              <a:solidFill>
                <a:srgbClr val="F4C430"/>
              </a:solidFill>
              <a:round/>
            </a:ln>
            <a:effectLst/>
          </c:spPr>
          <c:marker>
            <c:symbol val="circle"/>
            <c:size val="5"/>
            <c:spPr>
              <a:solidFill>
                <a:schemeClr val="accent2"/>
              </a:solidFill>
              <a:ln w="9525">
                <a:solidFill>
                  <a:schemeClr val="accent2"/>
                </a:solidFill>
              </a:ln>
              <a:effectLst/>
            </c:spPr>
          </c:marker>
          <c:dLbls>
            <c:dLbl>
              <c:idx val="0"/>
              <c:layout>
                <c:manualLayout>
                  <c:x val="1.7223284461239309E-3"/>
                  <c:y val="-5.26748093264430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D0-4AF4-80DF-28F3CA3E8237}"/>
                </c:ext>
              </c:extLst>
            </c:dLbl>
            <c:dLbl>
              <c:idx val="1"/>
              <c:layout>
                <c:manualLayout>
                  <c:x val="-5.4608183926117299E-2"/>
                  <c:y val="-6.8290813025099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5D0-4AF4-80DF-28F3CA3E8237}"/>
                </c:ext>
              </c:extLst>
            </c:dLbl>
            <c:dLbl>
              <c:idx val="5"/>
              <c:layout>
                <c:manualLayout>
                  <c:x val="7.0737271214868554E-3"/>
                  <c:y val="-3.1632244342503224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Calculations!$A$9:$A$15</c:f>
              <c:strCache>
                <c:ptCount val="6"/>
                <c:pt idx="0">
                  <c:v>Phase 1</c:v>
                </c:pt>
                <c:pt idx="1">
                  <c:v>Phase 2</c:v>
                </c:pt>
                <c:pt idx="2">
                  <c:v>Phase 3</c:v>
                </c:pt>
                <c:pt idx="3">
                  <c:v>Phase 4</c:v>
                </c:pt>
                <c:pt idx="4">
                  <c:v>Phase 5</c:v>
                </c:pt>
                <c:pt idx="5">
                  <c:v>Phase 6</c:v>
                </c:pt>
              </c:strCache>
            </c:strRef>
          </c:cat>
          <c:val>
            <c:numRef>
              <c:f>Calculations!$C$9:$C$15</c:f>
              <c:numCache>
                <c:formatCode>0.0%</c:formatCode>
                <c:ptCount val="6"/>
                <c:pt idx="0">
                  <c:v>2.627936707204185</c:v>
                </c:pt>
                <c:pt idx="1">
                  <c:v>3.4058212289952272</c:v>
                </c:pt>
                <c:pt idx="2">
                  <c:v>4.5617631685119733</c:v>
                </c:pt>
                <c:pt idx="3">
                  <c:v>2.9080390808482646</c:v>
                </c:pt>
                <c:pt idx="4">
                  <c:v>1.9411977277222221</c:v>
                </c:pt>
                <c:pt idx="5">
                  <c:v>5.2480146266666674</c:v>
                </c:pt>
              </c:numCache>
            </c:numRef>
          </c:val>
          <c:smooth val="0"/>
          <c:extLst>
            <c:ext xmlns:c16="http://schemas.microsoft.com/office/drawing/2014/chart" uri="{C3380CC4-5D6E-409C-BE32-E72D297353CC}">
              <c16:uniqueId val="{00000001-D1B6-431E-8E35-96D7DE0C5146}"/>
            </c:ext>
          </c:extLst>
        </c:ser>
        <c:dLbls>
          <c:showLegendKey val="0"/>
          <c:showVal val="0"/>
          <c:showCatName val="0"/>
          <c:showSerName val="0"/>
          <c:showPercent val="0"/>
          <c:showBubbleSize val="0"/>
        </c:dLbls>
        <c:marker val="1"/>
        <c:smooth val="0"/>
        <c:axId val="935952511"/>
        <c:axId val="935952031"/>
      </c:lineChart>
      <c:catAx>
        <c:axId val="913299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64748B"/>
                </a:solidFill>
                <a:latin typeface="+mn-lt"/>
                <a:ea typeface="+mn-ea"/>
                <a:cs typeface="+mn-cs"/>
              </a:defRPr>
            </a:pPr>
            <a:endParaRPr lang="en-US"/>
          </a:p>
        </c:txPr>
        <c:crossAx val="913300367"/>
        <c:crosses val="autoZero"/>
        <c:auto val="1"/>
        <c:lblAlgn val="ctr"/>
        <c:lblOffset val="100"/>
        <c:noMultiLvlLbl val="0"/>
      </c:catAx>
      <c:valAx>
        <c:axId val="913300367"/>
        <c:scaling>
          <c:orientation val="minMax"/>
          <c:min val="2000000000"/>
        </c:scaling>
        <c:delete val="0"/>
        <c:axPos val="l"/>
        <c:numFmt formatCode="&quot;$&quot;#,##0,,,&quot;B&quot;" sourceLinked="0"/>
        <c:majorTickMark val="out"/>
        <c:minorTickMark val="none"/>
        <c:tickLblPos val="nextTo"/>
        <c:spPr>
          <a:noFill/>
          <a:ln w="25400">
            <a:noFill/>
          </a:ln>
          <a:effectLst/>
        </c:spPr>
        <c:txPr>
          <a:bodyPr rot="-60000000" spcFirstLastPara="1" vertOverflow="ellipsis" vert="horz" wrap="square" anchor="ctr" anchorCtr="1"/>
          <a:lstStyle/>
          <a:p>
            <a:pPr>
              <a:defRPr sz="900" b="0" i="0" u="none" strike="noStrike" kern="1200" baseline="0">
                <a:solidFill>
                  <a:srgbClr val="64748B"/>
                </a:solidFill>
                <a:latin typeface="+mn-lt"/>
                <a:ea typeface="+mn-ea"/>
                <a:cs typeface="+mn-cs"/>
              </a:defRPr>
            </a:pPr>
            <a:endParaRPr lang="en-US"/>
          </a:p>
        </c:txPr>
        <c:crossAx val="913299887"/>
        <c:crosses val="autoZero"/>
        <c:crossBetween val="between"/>
      </c:valAx>
      <c:valAx>
        <c:axId val="935952031"/>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4748B"/>
                </a:solidFill>
                <a:latin typeface="+mn-lt"/>
                <a:ea typeface="+mn-ea"/>
                <a:cs typeface="+mn-cs"/>
              </a:defRPr>
            </a:pPr>
            <a:endParaRPr lang="en-US"/>
          </a:p>
        </c:txPr>
        <c:crossAx val="935952511"/>
        <c:crosses val="max"/>
        <c:crossBetween val="between"/>
      </c:valAx>
      <c:catAx>
        <c:axId val="935952511"/>
        <c:scaling>
          <c:orientation val="minMax"/>
        </c:scaling>
        <c:delete val="1"/>
        <c:axPos val="b"/>
        <c:numFmt formatCode="General" sourceLinked="1"/>
        <c:majorTickMark val="out"/>
        <c:minorTickMark val="none"/>
        <c:tickLblPos val="nextTo"/>
        <c:crossAx val="93595203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[mcu.xlsx]Calculations!PivotTable15</c:name>
    <c:fmtId val="4"/>
  </c:pivotSource>
  <c:chart>
    <c:title>
      <c:tx>
        <c:rich>
          <a:bodyPr rot="0" spcFirstLastPara="1" vertOverflow="ellipsis" vert="horz" wrap="square" anchor="ctr" anchorCtr="1"/>
          <a:lstStyle/>
          <a:p>
            <a:pPr>
              <a:defRPr sz="1400" b="1" i="0" u="none" strike="noStrike" kern="1200" spc="0" baseline="0">
                <a:solidFill>
                  <a:srgbClr val="0F172A"/>
                </a:solidFill>
                <a:latin typeface="+mn-lt"/>
                <a:ea typeface="+mn-ea"/>
                <a:cs typeface="+mn-cs"/>
              </a:defRPr>
            </a:pPr>
            <a:r>
              <a:rPr lang="en-US" b="1">
                <a:solidFill>
                  <a:srgbClr val="0F172A"/>
                </a:solidFill>
              </a:rPr>
              <a:t>Top 5 By ROI % </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F172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810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4748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Calculations!$L$3</c:f>
              <c:strCache>
                <c:ptCount val="1"/>
                <c:pt idx="0">
                  <c:v>Total</c:v>
                </c:pt>
              </c:strCache>
            </c:strRef>
          </c:tx>
          <c:spPr>
            <a:solidFill>
              <a:srgbClr val="C810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4748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Calculations!$K$4:$K$9</c:f>
              <c:strCache>
                <c:ptCount val="5"/>
                <c:pt idx="0">
                  <c:v>Avengers Endgame</c:v>
                </c:pt>
                <c:pt idx="1">
                  <c:v>Spider-Man Brand New Day</c:v>
                </c:pt>
                <c:pt idx="2">
                  <c:v>Spider-Man Far From Home</c:v>
                </c:pt>
                <c:pt idx="3">
                  <c:v>Spider-Man No Way Home</c:v>
                </c:pt>
                <c:pt idx="4">
                  <c:v>The Avengers</c:v>
                </c:pt>
              </c:strCache>
            </c:strRef>
          </c:cat>
          <c:val>
            <c:numRef>
              <c:f>Calculations!$L$4:$L$9</c:f>
              <c:numCache>
                <c:formatCode>0.0%</c:formatCode>
                <c:ptCount val="5"/>
                <c:pt idx="0">
                  <c:v>6.8635929775280902</c:v>
                </c:pt>
                <c:pt idx="1">
                  <c:v>8.8867356133333342</c:v>
                </c:pt>
                <c:pt idx="2">
                  <c:v>6.074549975</c:v>
                </c:pt>
                <c:pt idx="3">
                  <c:v>8.6128018300000004</c:v>
                </c:pt>
                <c:pt idx="4">
                  <c:v>5.9036954000000001</c:v>
                </c:pt>
              </c:numCache>
            </c:numRef>
          </c:val>
          <c:extLst>
            <c:ext xmlns:c16="http://schemas.microsoft.com/office/drawing/2014/chart" uri="{C3380CC4-5D6E-409C-BE32-E72D297353CC}">
              <c16:uniqueId val="{00000000-0AC9-47AA-A13F-6D0F7DAE3C02}"/>
            </c:ext>
          </c:extLst>
        </c:ser>
        <c:dLbls>
          <c:dLblPos val="outEnd"/>
          <c:showLegendKey val="0"/>
          <c:showVal val="1"/>
          <c:showCatName val="0"/>
          <c:showSerName val="0"/>
          <c:showPercent val="0"/>
          <c:showBubbleSize val="0"/>
        </c:dLbls>
        <c:gapWidth val="30"/>
        <c:axId val="913290767"/>
        <c:axId val="913316207"/>
      </c:barChart>
      <c:catAx>
        <c:axId val="9132907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64748B"/>
                </a:solidFill>
                <a:latin typeface="+mn-lt"/>
                <a:ea typeface="+mn-ea"/>
                <a:cs typeface="+mn-cs"/>
              </a:defRPr>
            </a:pPr>
            <a:endParaRPr lang="en-US"/>
          </a:p>
        </c:txPr>
        <c:crossAx val="913316207"/>
        <c:crosses val="autoZero"/>
        <c:auto val="1"/>
        <c:lblAlgn val="ctr"/>
        <c:lblOffset val="100"/>
        <c:noMultiLvlLbl val="0"/>
      </c:catAx>
      <c:valAx>
        <c:axId val="913316207"/>
        <c:scaling>
          <c:orientation val="minMax"/>
          <c:max val="9"/>
          <c:min val="1"/>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1E293B"/>
                </a:solidFill>
                <a:latin typeface="+mn-lt"/>
                <a:ea typeface="+mn-ea"/>
                <a:cs typeface="+mn-cs"/>
              </a:defRPr>
            </a:pPr>
            <a:endParaRPr lang="en-US"/>
          </a:p>
        </c:txPr>
        <c:crossAx val="913290767"/>
        <c:crosses val="autoZero"/>
        <c:crossBetween val="between"/>
        <c:majorUnit val="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[mcu.xlsx]Calculations!PivotTable17</c:name>
    <c:fmtId val="4"/>
  </c:pivotSource>
  <c:chart>
    <c:title>
      <c:tx>
        <c:rich>
          <a:bodyPr rot="0" spcFirstLastPara="1" vertOverflow="ellipsis" vert="horz" wrap="square" anchor="ctr" anchorCtr="1"/>
          <a:lstStyle/>
          <a:p>
            <a:pPr>
              <a:defRPr sz="1400" b="1" i="0" u="none" strike="noStrike" kern="1200" spc="0" baseline="0">
                <a:solidFill>
                  <a:srgbClr val="1E293B"/>
                </a:solidFill>
                <a:latin typeface="+mn-lt"/>
                <a:ea typeface="+mn-ea"/>
                <a:cs typeface="+mn-cs"/>
              </a:defRPr>
            </a:pPr>
            <a:r>
              <a:rPr lang="en-US" b="1">
                <a:solidFill>
                  <a:srgbClr val="1E293B"/>
                </a:solidFill>
              </a:rPr>
              <a:t>Top</a:t>
            </a:r>
            <a:r>
              <a:rPr lang="en-US" b="1" baseline="0">
                <a:solidFill>
                  <a:srgbClr val="1E293B"/>
                </a:solidFill>
              </a:rPr>
              <a:t> 5 By Tomato Meter</a:t>
            </a:r>
            <a:endParaRPr lang="en-US" b="1">
              <a:solidFill>
                <a:srgbClr val="1E293B"/>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E293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8102E"/>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Calculations!$H$12</c:f>
              <c:strCache>
                <c:ptCount val="1"/>
                <c:pt idx="0">
                  <c:v>Total</c:v>
                </c:pt>
              </c:strCache>
            </c:strRef>
          </c:tx>
          <c:spPr>
            <a:solidFill>
              <a:srgbClr val="C8102E"/>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Calculations!$G$13:$G$18</c:f>
              <c:strCache>
                <c:ptCount val="5"/>
                <c:pt idx="0">
                  <c:v>Black Panther</c:v>
                </c:pt>
                <c:pt idx="1">
                  <c:v>Ms. Marvel</c:v>
                </c:pt>
                <c:pt idx="2">
                  <c:v>X-Men '97</c:v>
                </c:pt>
                <c:pt idx="3">
                  <c:v>X-Men '97 Season 2</c:v>
                </c:pt>
                <c:pt idx="4">
                  <c:v>Your Friendly Neighborhood Spider-Man</c:v>
                </c:pt>
              </c:strCache>
            </c:strRef>
          </c:cat>
          <c:val>
            <c:numRef>
              <c:f>Calculations!$H$13:$H$18</c:f>
              <c:numCache>
                <c:formatCode>General</c:formatCode>
                <c:ptCount val="5"/>
                <c:pt idx="0">
                  <c:v>96</c:v>
                </c:pt>
                <c:pt idx="1">
                  <c:v>98</c:v>
                </c:pt>
                <c:pt idx="2">
                  <c:v>99</c:v>
                </c:pt>
                <c:pt idx="3">
                  <c:v>96</c:v>
                </c:pt>
                <c:pt idx="4">
                  <c:v>97</c:v>
                </c:pt>
              </c:numCache>
            </c:numRef>
          </c:val>
          <c:extLst>
            <c:ext xmlns:c16="http://schemas.microsoft.com/office/drawing/2014/chart" uri="{C3380CC4-5D6E-409C-BE32-E72D297353CC}">
              <c16:uniqueId val="{00000000-36CE-4149-BD1C-BF33839F3F7D}"/>
            </c:ext>
          </c:extLst>
        </c:ser>
        <c:dLbls>
          <c:dLblPos val="outEnd"/>
          <c:showLegendKey val="0"/>
          <c:showVal val="1"/>
          <c:showCatName val="0"/>
          <c:showSerName val="0"/>
          <c:showPercent val="0"/>
          <c:showBubbleSize val="0"/>
        </c:dLbls>
        <c:gapWidth val="30"/>
        <c:axId val="935961631"/>
        <c:axId val="935944831"/>
      </c:barChart>
      <c:catAx>
        <c:axId val="935961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64748B"/>
                </a:solidFill>
                <a:latin typeface="+mn-lt"/>
                <a:ea typeface="+mn-ea"/>
                <a:cs typeface="+mn-cs"/>
              </a:defRPr>
            </a:pPr>
            <a:endParaRPr lang="en-US"/>
          </a:p>
        </c:txPr>
        <c:crossAx val="935944831"/>
        <c:crosses val="autoZero"/>
        <c:auto val="1"/>
        <c:lblAlgn val="ctr"/>
        <c:lblOffset val="100"/>
        <c:noMultiLvlLbl val="0"/>
      </c:catAx>
      <c:valAx>
        <c:axId val="935944831"/>
        <c:scaling>
          <c:orientation val="minMax"/>
          <c:max val="100"/>
          <c:min val="65"/>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64748B"/>
                </a:solidFill>
                <a:latin typeface="+mn-lt"/>
                <a:ea typeface="+mn-ea"/>
                <a:cs typeface="+mn-cs"/>
              </a:defRPr>
            </a:pPr>
            <a:endParaRPr lang="en-US"/>
          </a:p>
        </c:txPr>
        <c:crossAx val="935961631"/>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[mcu.xlsx]Calculations!PivotTable14</c:name>
    <c:fmtId val="12"/>
  </c:pivotSource>
  <c:chart>
    <c:title>
      <c:tx>
        <c:rich>
          <a:bodyPr rot="0" spcFirstLastPara="1" vertOverflow="ellipsis" vert="horz" wrap="square" anchor="ctr" anchorCtr="1"/>
          <a:lstStyle/>
          <a:p>
            <a:pPr>
              <a:defRPr sz="1400" b="1" i="0" u="none" strike="noStrike" kern="1200" spc="0" baseline="0">
                <a:solidFill>
                  <a:srgbClr val="1E293B"/>
                </a:solidFill>
                <a:latin typeface="+mn-lt"/>
                <a:ea typeface="+mn-ea"/>
                <a:cs typeface="+mn-cs"/>
              </a:defRPr>
            </a:pPr>
            <a:r>
              <a:rPr lang="en-US" b="1">
                <a:solidFill>
                  <a:srgbClr val="1E293B"/>
                </a:solidFill>
              </a:rPr>
              <a:t>Top 5 By Net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E293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8102E"/>
          </a:solidFill>
          <a:ln>
            <a:noFill/>
          </a:ln>
          <a:effectLst/>
        </c:spPr>
        <c:marker>
          <c:symbol val="none"/>
        </c:marker>
        <c:dLbl>
          <c:idx val="0"/>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Calculations!$H$3</c:f>
              <c:strCache>
                <c:ptCount val="1"/>
                <c:pt idx="0">
                  <c:v>Total</c:v>
                </c:pt>
              </c:strCache>
            </c:strRef>
          </c:tx>
          <c:spPr>
            <a:solidFill>
              <a:srgbClr val="C8102E"/>
            </a:solidFill>
            <a:ln>
              <a:noFill/>
            </a:ln>
            <a:effectLst/>
          </c:spPr>
          <c:invertIfNegative val="0"/>
          <c:dLbls>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Calculations!$G$4:$G$9</c:f>
              <c:strCache>
                <c:ptCount val="5"/>
                <c:pt idx="0">
                  <c:v>Avengers Endgame</c:v>
                </c:pt>
                <c:pt idx="1">
                  <c:v>Avengers Infinity War</c:v>
                </c:pt>
                <c:pt idx="2">
                  <c:v>Spider-Man Brand New Day</c:v>
                </c:pt>
                <c:pt idx="3">
                  <c:v>Spider-Man No Way Home</c:v>
                </c:pt>
                <c:pt idx="4">
                  <c:v>The Avengers</c:v>
                </c:pt>
              </c:strCache>
            </c:strRef>
          </c:cat>
          <c:val>
            <c:numRef>
              <c:f>Calculations!$H$4:$H$9</c:f>
              <c:numCache>
                <c:formatCode>"$"#,##0</c:formatCode>
                <c:ptCount val="5"/>
                <c:pt idx="0">
                  <c:v>2443439100</c:v>
                </c:pt>
                <c:pt idx="1">
                  <c:v>1727415039</c:v>
                </c:pt>
                <c:pt idx="2">
                  <c:v>1999515513</c:v>
                </c:pt>
                <c:pt idx="3">
                  <c:v>1722560366</c:v>
                </c:pt>
                <c:pt idx="4">
                  <c:v>1298812988</c:v>
                </c:pt>
              </c:numCache>
            </c:numRef>
          </c:val>
          <c:extLst>
            <c:ext xmlns:c16="http://schemas.microsoft.com/office/drawing/2014/chart" uri="{C3380CC4-5D6E-409C-BE32-E72D297353CC}">
              <c16:uniqueId val="{00000000-7236-4E95-8CF5-8151676A9268}"/>
            </c:ext>
          </c:extLst>
        </c:ser>
        <c:dLbls>
          <c:showLegendKey val="0"/>
          <c:showVal val="1"/>
          <c:showCatName val="0"/>
          <c:showSerName val="0"/>
          <c:showPercent val="0"/>
          <c:showBubbleSize val="0"/>
        </c:dLbls>
        <c:gapWidth val="30"/>
        <c:axId val="913306607"/>
        <c:axId val="913303247"/>
      </c:barChart>
      <c:catAx>
        <c:axId val="913306607"/>
        <c:scaling>
          <c:orientation val="minMax"/>
        </c:scaling>
        <c:delete val="0"/>
        <c:axPos val="l"/>
        <c:numFmt formatCode="General" sourceLinked="1"/>
        <c:majorTickMark val="cross"/>
        <c:minorTickMark val="cross"/>
        <c:tickLblPos val="low"/>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1" i="0" u="none" strike="noStrike" kern="1200" baseline="0">
                <a:solidFill>
                  <a:srgbClr val="64748B"/>
                </a:solidFill>
                <a:latin typeface="+mn-lt"/>
                <a:ea typeface="+mn-ea"/>
                <a:cs typeface="+mn-cs"/>
              </a:defRPr>
            </a:pPr>
            <a:endParaRPr lang="en-US"/>
          </a:p>
        </c:txPr>
        <c:crossAx val="913303247"/>
        <c:crosses val="autoZero"/>
        <c:auto val="1"/>
        <c:lblAlgn val="ctr"/>
        <c:lblOffset val="100"/>
        <c:noMultiLvlLbl val="0"/>
      </c:catAx>
      <c:valAx>
        <c:axId val="913303247"/>
        <c:scaling>
          <c:orientation val="minMax"/>
          <c:max val="2500000000"/>
        </c:scaling>
        <c:delete val="0"/>
        <c:axPos val="b"/>
        <c:numFmt formatCode="&quot;$&quot;#,##0.0,,,.&quot;B&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64748B"/>
                </a:solidFill>
                <a:latin typeface="+mn-lt"/>
                <a:ea typeface="+mn-ea"/>
                <a:cs typeface="+mn-cs"/>
              </a:defRPr>
            </a:pPr>
            <a:endParaRPr lang="en-US"/>
          </a:p>
        </c:txPr>
        <c:crossAx val="913306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[mcu.xlsx]Calculations!PivotTable18</c:name>
    <c:fmtId val="4"/>
  </c:pivotSource>
  <c:chart>
    <c:title>
      <c:tx>
        <c:rich>
          <a:bodyPr rot="0" spcFirstLastPara="1" vertOverflow="ellipsis" vert="horz" wrap="square" anchor="ctr" anchorCtr="1"/>
          <a:lstStyle/>
          <a:p>
            <a:pPr>
              <a:defRPr sz="1600" b="1" i="0" u="none" strike="noStrike" kern="1200" spc="0" baseline="0">
                <a:solidFill>
                  <a:srgbClr val="1E293B"/>
                </a:solidFill>
                <a:latin typeface="+mn-lt"/>
                <a:ea typeface="+mn-ea"/>
                <a:cs typeface="+mn-cs"/>
              </a:defRPr>
            </a:pPr>
            <a:r>
              <a:rPr lang="en-US" sz="1600" b="1">
                <a:solidFill>
                  <a:srgbClr val="1E293B"/>
                </a:solidFill>
              </a:rPr>
              <a:t>Top 5 By Audience Score</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1E293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810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969225137463908"/>
          <c:y val="0.23824524762364468"/>
          <c:w val="0.52688475741645124"/>
          <c:h val="0.65919853525500882"/>
        </c:manualLayout>
      </c:layout>
      <c:barChart>
        <c:barDir val="bar"/>
        <c:grouping val="clustered"/>
        <c:varyColors val="0"/>
        <c:ser>
          <c:idx val="0"/>
          <c:order val="0"/>
          <c:tx>
            <c:strRef>
              <c:f>Calculations!$L$12</c:f>
              <c:strCache>
                <c:ptCount val="1"/>
                <c:pt idx="0">
                  <c:v>Total</c:v>
                </c:pt>
              </c:strCache>
            </c:strRef>
          </c:tx>
          <c:spPr>
            <a:solidFill>
              <a:srgbClr val="C810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Calculations!$K$13:$K$19</c:f>
              <c:strCache>
                <c:ptCount val="6"/>
                <c:pt idx="0">
                  <c:v>Black Panther Wakanda Forever</c:v>
                </c:pt>
                <c:pt idx="1">
                  <c:v>Deadpool &amp; Wolverine</c:v>
                </c:pt>
                <c:pt idx="2">
                  <c:v>Guardians of the Galaxy Vol. 3</c:v>
                </c:pt>
                <c:pt idx="3">
                  <c:v>Shang-Chi and the Legend of the Ten Rings</c:v>
                </c:pt>
                <c:pt idx="4">
                  <c:v>Spider-Man Far From Home</c:v>
                </c:pt>
                <c:pt idx="5">
                  <c:v>Spider-Man No Way Home</c:v>
                </c:pt>
              </c:strCache>
            </c:strRef>
          </c:cat>
          <c:val>
            <c:numRef>
              <c:f>Calculations!$L$13:$L$19</c:f>
              <c:numCache>
                <c:formatCode>General</c:formatCode>
                <c:ptCount val="6"/>
                <c:pt idx="0">
                  <c:v>95</c:v>
                </c:pt>
                <c:pt idx="1">
                  <c:v>94</c:v>
                </c:pt>
                <c:pt idx="2">
                  <c:v>94</c:v>
                </c:pt>
                <c:pt idx="3">
                  <c:v>98</c:v>
                </c:pt>
                <c:pt idx="4">
                  <c:v>95</c:v>
                </c:pt>
                <c:pt idx="5">
                  <c:v>97</c:v>
                </c:pt>
              </c:numCache>
            </c:numRef>
          </c:val>
          <c:extLst>
            <c:ext xmlns:c16="http://schemas.microsoft.com/office/drawing/2014/chart" uri="{C3380CC4-5D6E-409C-BE32-E72D297353CC}">
              <c16:uniqueId val="{00000000-1F7A-4F6C-A023-B0DDE4F3045B}"/>
            </c:ext>
          </c:extLst>
        </c:ser>
        <c:dLbls>
          <c:dLblPos val="outEnd"/>
          <c:showLegendKey val="0"/>
          <c:showVal val="1"/>
          <c:showCatName val="0"/>
          <c:showSerName val="0"/>
          <c:showPercent val="0"/>
          <c:showBubbleSize val="0"/>
        </c:dLbls>
        <c:gapWidth val="30"/>
        <c:axId val="135922928"/>
        <c:axId val="135925328"/>
      </c:barChart>
      <c:catAx>
        <c:axId val="1359229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64748B"/>
                </a:solidFill>
                <a:latin typeface="+mn-lt"/>
                <a:ea typeface="+mn-ea"/>
                <a:cs typeface="+mn-cs"/>
              </a:defRPr>
            </a:pPr>
            <a:endParaRPr lang="en-US"/>
          </a:p>
        </c:txPr>
        <c:crossAx val="135925328"/>
        <c:crosses val="autoZero"/>
        <c:auto val="1"/>
        <c:lblAlgn val="ctr"/>
        <c:lblOffset val="100"/>
        <c:noMultiLvlLbl val="0"/>
      </c:catAx>
      <c:valAx>
        <c:axId val="135925328"/>
        <c:scaling>
          <c:orientation val="minMax"/>
          <c:max val="100"/>
          <c:min val="70"/>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64748B"/>
                </a:solidFill>
                <a:latin typeface="+mn-lt"/>
                <a:ea typeface="+mn-ea"/>
                <a:cs typeface="+mn-cs"/>
              </a:defRPr>
            </a:pPr>
            <a:endParaRPr lang="en-US"/>
          </a:p>
        </c:txPr>
        <c:crossAx val="13592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mcu_cleaned!A1"/><Relationship Id="rId13"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hyperlink" Target="#Calculations!A1"/><Relationship Id="rId12" Type="http://schemas.openxmlformats.org/officeDocument/2006/relationships/hyperlink" Target="http://www.linkedin.com/in/iamfayvoh" TargetMode="External"/><Relationship Id="rId2" Type="http://schemas.openxmlformats.org/officeDocument/2006/relationships/chart" Target="../charts/chart2.xml"/><Relationship Id="rId16" Type="http://schemas.openxmlformats.org/officeDocument/2006/relationships/image" Target="../media/image4.jpeg"/><Relationship Id="rId1" Type="http://schemas.openxmlformats.org/officeDocument/2006/relationships/chart" Target="../charts/chart1.xml"/><Relationship Id="rId6" Type="http://schemas.openxmlformats.org/officeDocument/2006/relationships/hyperlink" Target="#Dashboard!A1"/><Relationship Id="rId11" Type="http://schemas.openxmlformats.org/officeDocument/2006/relationships/image" Target="../media/image1.png"/><Relationship Id="rId5" Type="http://schemas.openxmlformats.org/officeDocument/2006/relationships/chart" Target="../charts/chart5.xml"/><Relationship Id="rId15" Type="http://schemas.openxmlformats.org/officeDocument/2006/relationships/image" Target="../media/image3.png"/><Relationship Id="rId10" Type="http://schemas.openxmlformats.org/officeDocument/2006/relationships/hyperlink" Target="#Data_Cleaning_Report!A1"/><Relationship Id="rId4" Type="http://schemas.openxmlformats.org/officeDocument/2006/relationships/chart" Target="../charts/chart4.xml"/><Relationship Id="rId9" Type="http://schemas.openxmlformats.org/officeDocument/2006/relationships/hyperlink" Target="#mcu!A1"/><Relationship Id="rId14" Type="http://schemas.openxmlformats.org/officeDocument/2006/relationships/hyperlink" Target="https://x.com/iamfayvoh" TargetMode="External"/></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2</xdr:colOff>
      <xdr:row>0</xdr:row>
      <xdr:rowOff>0</xdr:rowOff>
    </xdr:from>
    <xdr:to>
      <xdr:col>20</xdr:col>
      <xdr:colOff>285750</xdr:colOff>
      <xdr:row>46</xdr:row>
      <xdr:rowOff>85725</xdr:rowOff>
    </xdr:to>
    <xdr:sp macro="" textlink="">
      <xdr:nvSpPr>
        <xdr:cNvPr id="3" name="Rectangle 2">
          <a:extLst>
            <a:ext uri="{FF2B5EF4-FFF2-40B4-BE49-F238E27FC236}">
              <a16:creationId xmlns:a16="http://schemas.microsoft.com/office/drawing/2014/main" id="{AC26D164-CF45-D9EB-2677-CEC81849EB26}"/>
            </a:ext>
          </a:extLst>
        </xdr:cNvPr>
        <xdr:cNvSpPr/>
      </xdr:nvSpPr>
      <xdr:spPr>
        <a:xfrm>
          <a:off x="2" y="0"/>
          <a:ext cx="12477748" cy="8848725"/>
        </a:xfrm>
        <a:prstGeom prst="rect">
          <a:avLst/>
        </a:prstGeom>
        <a:solidFill>
          <a:schemeClr val="tx2"/>
        </a:solidFill>
        <a:ln>
          <a:noFill/>
        </a:ln>
        <a:effectLst>
          <a:outerShdw blurRad="50800" dist="38100" dir="2700000" algn="tl"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275166</xdr:colOff>
      <xdr:row>0</xdr:row>
      <xdr:rowOff>66676</xdr:rowOff>
    </xdr:from>
    <xdr:to>
      <xdr:col>14</xdr:col>
      <xdr:colOff>338665</xdr:colOff>
      <xdr:row>3</xdr:row>
      <xdr:rowOff>104776</xdr:rowOff>
    </xdr:to>
    <xdr:grpSp>
      <xdr:nvGrpSpPr>
        <xdr:cNvPr id="67" name="Group 66">
          <a:extLst>
            <a:ext uri="{FF2B5EF4-FFF2-40B4-BE49-F238E27FC236}">
              <a16:creationId xmlns:a16="http://schemas.microsoft.com/office/drawing/2014/main" id="{EF2EFD1B-96E2-A5D1-947B-B2C2BFDCCE1E}"/>
            </a:ext>
          </a:extLst>
        </xdr:cNvPr>
        <xdr:cNvGrpSpPr/>
      </xdr:nvGrpSpPr>
      <xdr:grpSpPr>
        <a:xfrm>
          <a:off x="1494366" y="66676"/>
          <a:ext cx="7378699" cy="609600"/>
          <a:chOff x="1485401" y="66676"/>
          <a:chExt cx="7324911" cy="609600"/>
        </a:xfrm>
      </xdr:grpSpPr>
      <xdr:sp macro="" textlink="">
        <xdr:nvSpPr>
          <xdr:cNvPr id="5" name="Rectangle 4">
            <a:extLst>
              <a:ext uri="{FF2B5EF4-FFF2-40B4-BE49-F238E27FC236}">
                <a16:creationId xmlns:a16="http://schemas.microsoft.com/office/drawing/2014/main" id="{3A55E20A-FEF5-4A78-B7D4-A1FD0309D24C}"/>
              </a:ext>
            </a:extLst>
          </xdr:cNvPr>
          <xdr:cNvSpPr/>
        </xdr:nvSpPr>
        <xdr:spPr>
          <a:xfrm>
            <a:off x="1485401" y="66676"/>
            <a:ext cx="7324911" cy="609600"/>
          </a:xfrm>
          <a:prstGeom prst="rect">
            <a:avLst/>
          </a:prstGeom>
          <a:solidFill>
            <a:srgbClr val="C8102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8" name="TextBox 7">
            <a:extLst>
              <a:ext uri="{FF2B5EF4-FFF2-40B4-BE49-F238E27FC236}">
                <a16:creationId xmlns:a16="http://schemas.microsoft.com/office/drawing/2014/main" id="{CFA66F02-F6EA-5B5E-4B71-76E0BC9CBA86}"/>
              </a:ext>
            </a:extLst>
          </xdr:cNvPr>
          <xdr:cNvSpPr txBox="1"/>
        </xdr:nvSpPr>
        <xdr:spPr>
          <a:xfrm>
            <a:off x="1598080" y="134595"/>
            <a:ext cx="6727890" cy="4381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MCU FINANCIAL AND </a:t>
            </a:r>
            <a:r>
              <a:rPr lang="en-US" sz="2400" b="1">
                <a:solidFill>
                  <a:schemeClr val="bg1"/>
                </a:solidFill>
                <a:latin typeface="+mj-lt"/>
              </a:rPr>
              <a:t>CRITICAL</a:t>
            </a:r>
            <a:r>
              <a:rPr lang="en-US" sz="2000" b="1">
                <a:solidFill>
                  <a:schemeClr val="bg1"/>
                </a:solidFill>
                <a:latin typeface="+mj-lt"/>
              </a:rPr>
              <a:t> PERFORMANCE REPORT</a:t>
            </a:r>
          </a:p>
        </xdr:txBody>
      </xdr:sp>
    </xdr:grpSp>
    <xdr:clientData/>
  </xdr:twoCellAnchor>
  <xdr:twoCellAnchor>
    <xdr:from>
      <xdr:col>2</xdr:col>
      <xdr:colOff>304801</xdr:colOff>
      <xdr:row>10</xdr:row>
      <xdr:rowOff>47625</xdr:rowOff>
    </xdr:from>
    <xdr:to>
      <xdr:col>12</xdr:col>
      <xdr:colOff>66675</xdr:colOff>
      <xdr:row>27</xdr:row>
      <xdr:rowOff>116417</xdr:rowOff>
    </xdr:to>
    <xdr:grpSp>
      <xdr:nvGrpSpPr>
        <xdr:cNvPr id="28" name="Group 27">
          <a:extLst>
            <a:ext uri="{FF2B5EF4-FFF2-40B4-BE49-F238E27FC236}">
              <a16:creationId xmlns:a16="http://schemas.microsoft.com/office/drawing/2014/main" id="{8C610AAE-6BB7-A788-8B22-984216779D4D}"/>
            </a:ext>
          </a:extLst>
        </xdr:cNvPr>
        <xdr:cNvGrpSpPr/>
      </xdr:nvGrpSpPr>
      <xdr:grpSpPr>
        <a:xfrm>
          <a:off x="1524001" y="1952625"/>
          <a:ext cx="5857874" cy="3307292"/>
          <a:chOff x="1485901" y="1952625"/>
          <a:chExt cx="5857874" cy="2905125"/>
        </a:xfrm>
      </xdr:grpSpPr>
      <xdr:sp macro="" textlink="">
        <xdr:nvSpPr>
          <xdr:cNvPr id="14" name="Rectangle 13">
            <a:extLst>
              <a:ext uri="{FF2B5EF4-FFF2-40B4-BE49-F238E27FC236}">
                <a16:creationId xmlns:a16="http://schemas.microsoft.com/office/drawing/2014/main" id="{9759BB1C-8328-8F16-A476-4E3F506D22B2}"/>
              </a:ext>
            </a:extLst>
          </xdr:cNvPr>
          <xdr:cNvSpPr/>
        </xdr:nvSpPr>
        <xdr:spPr>
          <a:xfrm>
            <a:off x="1495424" y="1957387"/>
            <a:ext cx="5848351" cy="29003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7" name="Chart 26">
            <a:extLst>
              <a:ext uri="{FF2B5EF4-FFF2-40B4-BE49-F238E27FC236}">
                <a16:creationId xmlns:a16="http://schemas.microsoft.com/office/drawing/2014/main" id="{F9E7E953-6AF1-4AF3-9725-71AFAF8FEEC8}"/>
              </a:ext>
            </a:extLst>
          </xdr:cNvPr>
          <xdr:cNvGraphicFramePr>
            <a:graphicFrameLocks/>
          </xdr:cNvGraphicFramePr>
        </xdr:nvGraphicFramePr>
        <xdr:xfrm>
          <a:off x="1485901" y="1952625"/>
          <a:ext cx="5819774" cy="2857499"/>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editAs="oneCell">
    <xdr:from>
      <xdr:col>17</xdr:col>
      <xdr:colOff>399521</xdr:colOff>
      <xdr:row>0</xdr:row>
      <xdr:rowOff>53974</xdr:rowOff>
    </xdr:from>
    <xdr:to>
      <xdr:col>20</xdr:col>
      <xdr:colOff>211666</xdr:colOff>
      <xdr:row>9</xdr:row>
      <xdr:rowOff>137583</xdr:rowOff>
    </xdr:to>
    <mc:AlternateContent xmlns:mc="http://schemas.openxmlformats.org/markup-compatibility/2006">
      <mc:Choice xmlns:a14="http://schemas.microsoft.com/office/drawing/2010/main" Requires="a14">
        <xdr:graphicFrame macro="">
          <xdr:nvGraphicFramePr>
            <xdr:cNvPr id="32" name="mcu_phase">
              <a:extLst>
                <a:ext uri="{FF2B5EF4-FFF2-40B4-BE49-F238E27FC236}">
                  <a16:creationId xmlns:a16="http://schemas.microsoft.com/office/drawing/2014/main" id="{E2D3D6BB-E326-4C5F-ADB6-967FE1E4DCFC}"/>
                </a:ext>
              </a:extLst>
            </xdr:cNvPr>
            <xdr:cNvGraphicFramePr/>
          </xdr:nvGraphicFramePr>
          <xdr:xfrm>
            <a:off x="0" y="0"/>
            <a:ext cx="0" cy="0"/>
          </xdr:xfrm>
          <a:graphic>
            <a:graphicData uri="http://schemas.microsoft.com/office/drawing/2010/slicer">
              <sle:slicer xmlns:sle="http://schemas.microsoft.com/office/drawing/2010/slicer" name="mcu_phase"/>
            </a:graphicData>
          </a:graphic>
        </xdr:graphicFrame>
      </mc:Choice>
      <mc:Fallback>
        <xdr:sp macro="" textlink="">
          <xdr:nvSpPr>
            <xdr:cNvPr id="0" name=""/>
            <xdr:cNvSpPr>
              <a:spLocks noTextEdit="1"/>
            </xdr:cNvSpPr>
          </xdr:nvSpPr>
          <xdr:spPr>
            <a:xfrm>
              <a:off x="10762721" y="53974"/>
              <a:ext cx="1640945" cy="1798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438151</xdr:colOff>
      <xdr:row>0</xdr:row>
      <xdr:rowOff>43389</xdr:rowOff>
    </xdr:from>
    <xdr:to>
      <xdr:col>17</xdr:col>
      <xdr:colOff>285751</xdr:colOff>
      <xdr:row>3</xdr:row>
      <xdr:rowOff>105833</xdr:rowOff>
    </xdr:to>
    <mc:AlternateContent xmlns:mc="http://schemas.openxmlformats.org/markup-compatibility/2006">
      <mc:Choice xmlns:a14="http://schemas.microsoft.com/office/drawing/2010/main" Requires="a14">
        <xdr:graphicFrame macro="">
          <xdr:nvGraphicFramePr>
            <xdr:cNvPr id="33" name="movie_type">
              <a:extLst>
                <a:ext uri="{FF2B5EF4-FFF2-40B4-BE49-F238E27FC236}">
                  <a16:creationId xmlns:a16="http://schemas.microsoft.com/office/drawing/2014/main" id="{39B37B76-F65F-4467-A06A-EB7960A5B503}"/>
                </a:ext>
              </a:extLst>
            </xdr:cNvPr>
            <xdr:cNvGraphicFramePr/>
          </xdr:nvGraphicFramePr>
          <xdr:xfrm>
            <a:off x="0" y="0"/>
            <a:ext cx="0" cy="0"/>
          </xdr:xfrm>
          <a:graphic>
            <a:graphicData uri="http://schemas.microsoft.com/office/drawing/2010/slicer">
              <sle:slicer xmlns:sle="http://schemas.microsoft.com/office/drawing/2010/slicer" name="movie_type"/>
            </a:graphicData>
          </a:graphic>
        </xdr:graphicFrame>
      </mc:Choice>
      <mc:Fallback>
        <xdr:sp macro="" textlink="">
          <xdr:nvSpPr>
            <xdr:cNvPr id="0" name=""/>
            <xdr:cNvSpPr>
              <a:spLocks noTextEdit="1"/>
            </xdr:cNvSpPr>
          </xdr:nvSpPr>
          <xdr:spPr>
            <a:xfrm>
              <a:off x="8972551" y="43389"/>
              <a:ext cx="1676400" cy="633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161924</xdr:colOff>
      <xdr:row>4</xdr:row>
      <xdr:rowOff>14288</xdr:rowOff>
    </xdr:from>
    <xdr:to>
      <xdr:col>9</xdr:col>
      <xdr:colOff>542925</xdr:colOff>
      <xdr:row>9</xdr:row>
      <xdr:rowOff>138113</xdr:rowOff>
    </xdr:to>
    <xdr:grpSp>
      <xdr:nvGrpSpPr>
        <xdr:cNvPr id="69" name="Group 68">
          <a:extLst>
            <a:ext uri="{FF2B5EF4-FFF2-40B4-BE49-F238E27FC236}">
              <a16:creationId xmlns:a16="http://schemas.microsoft.com/office/drawing/2014/main" id="{CBBD6FEE-B13D-75F3-CA6F-7EAA95231786}"/>
            </a:ext>
          </a:extLst>
        </xdr:cNvPr>
        <xdr:cNvGrpSpPr/>
      </xdr:nvGrpSpPr>
      <xdr:grpSpPr>
        <a:xfrm>
          <a:off x="3819524" y="776288"/>
          <a:ext cx="2209801" cy="1076325"/>
          <a:chOff x="3792630" y="776288"/>
          <a:chExt cx="2196354" cy="1076325"/>
        </a:xfrm>
      </xdr:grpSpPr>
      <xdr:sp macro="" textlink="">
        <xdr:nvSpPr>
          <xdr:cNvPr id="10" name="Rectangle 9">
            <a:extLst>
              <a:ext uri="{FF2B5EF4-FFF2-40B4-BE49-F238E27FC236}">
                <a16:creationId xmlns:a16="http://schemas.microsoft.com/office/drawing/2014/main" id="{44C00C07-3E8F-4DAB-A736-2F26DD3E175A}"/>
              </a:ext>
            </a:extLst>
          </xdr:cNvPr>
          <xdr:cNvSpPr/>
        </xdr:nvSpPr>
        <xdr:spPr>
          <a:xfrm>
            <a:off x="3792630" y="776288"/>
            <a:ext cx="2196354" cy="107632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TextBox 36">
            <a:extLst>
              <a:ext uri="{FF2B5EF4-FFF2-40B4-BE49-F238E27FC236}">
                <a16:creationId xmlns:a16="http://schemas.microsoft.com/office/drawing/2014/main" id="{4574DFAB-CDC0-4723-819E-72377409F304}"/>
              </a:ext>
            </a:extLst>
          </xdr:cNvPr>
          <xdr:cNvSpPr txBox="1"/>
        </xdr:nvSpPr>
        <xdr:spPr>
          <a:xfrm>
            <a:off x="4015931" y="921803"/>
            <a:ext cx="1434353"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64748B"/>
                </a:solidFill>
              </a:rPr>
              <a:t>Net Profit</a:t>
            </a:r>
          </a:p>
        </xdr:txBody>
      </xdr:sp>
      <xdr:sp macro="" textlink="Calculations!B4">
        <xdr:nvSpPr>
          <xdr:cNvPr id="40" name="TextBox 39">
            <a:extLst>
              <a:ext uri="{FF2B5EF4-FFF2-40B4-BE49-F238E27FC236}">
                <a16:creationId xmlns:a16="http://schemas.microsoft.com/office/drawing/2014/main" id="{083E5C08-90C6-457E-8F8C-C45C1914F7AA}"/>
              </a:ext>
            </a:extLst>
          </xdr:cNvPr>
          <xdr:cNvSpPr txBox="1"/>
        </xdr:nvSpPr>
        <xdr:spPr>
          <a:xfrm>
            <a:off x="4005341" y="1117599"/>
            <a:ext cx="1421901" cy="6032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4F73C10-E1B6-4710-A73D-DEA188AB9D3F}" type="TxLink">
              <a:rPr lang="en-US" sz="3200" b="1" i="0" u="none" strike="noStrike">
                <a:solidFill>
                  <a:srgbClr val="0F172A"/>
                </a:solidFill>
                <a:latin typeface="Aptos Narrow"/>
                <a:ea typeface="+mn-ea"/>
                <a:cs typeface="+mn-cs"/>
              </a:rPr>
              <a:pPr marL="0" indent="0"/>
              <a:t>$27.0B</a:t>
            </a:fld>
            <a:endParaRPr lang="en-US" sz="3200" b="1" i="0" u="none" strike="noStrike">
              <a:solidFill>
                <a:srgbClr val="0F172A"/>
              </a:solidFill>
              <a:latin typeface="Aptos Narrow"/>
              <a:ea typeface="+mn-ea"/>
              <a:cs typeface="+mn-cs"/>
            </a:endParaRPr>
          </a:p>
        </xdr:txBody>
      </xdr:sp>
    </xdr:grpSp>
    <xdr:clientData/>
  </xdr:twoCellAnchor>
  <xdr:twoCellAnchor>
    <xdr:from>
      <xdr:col>10</xdr:col>
      <xdr:colOff>38099</xdr:colOff>
      <xdr:row>4</xdr:row>
      <xdr:rowOff>14288</xdr:rowOff>
    </xdr:from>
    <xdr:to>
      <xdr:col>13</xdr:col>
      <xdr:colOff>419100</xdr:colOff>
      <xdr:row>9</xdr:row>
      <xdr:rowOff>138113</xdr:rowOff>
    </xdr:to>
    <xdr:grpSp>
      <xdr:nvGrpSpPr>
        <xdr:cNvPr id="70" name="Group 69">
          <a:extLst>
            <a:ext uri="{FF2B5EF4-FFF2-40B4-BE49-F238E27FC236}">
              <a16:creationId xmlns:a16="http://schemas.microsoft.com/office/drawing/2014/main" id="{58A9F89B-D9A7-F49D-13D3-505EDF132577}"/>
            </a:ext>
          </a:extLst>
        </xdr:cNvPr>
        <xdr:cNvGrpSpPr/>
      </xdr:nvGrpSpPr>
      <xdr:grpSpPr>
        <a:xfrm>
          <a:off x="6134099" y="776288"/>
          <a:ext cx="2209801" cy="1076325"/>
          <a:chOff x="6089275" y="776288"/>
          <a:chExt cx="2196354" cy="1076325"/>
        </a:xfrm>
      </xdr:grpSpPr>
      <xdr:sp macro="" textlink="">
        <xdr:nvSpPr>
          <xdr:cNvPr id="11" name="Rectangle 10">
            <a:extLst>
              <a:ext uri="{FF2B5EF4-FFF2-40B4-BE49-F238E27FC236}">
                <a16:creationId xmlns:a16="http://schemas.microsoft.com/office/drawing/2014/main" id="{51E92C21-B50F-4072-9379-56B7C0084ACA}"/>
              </a:ext>
            </a:extLst>
          </xdr:cNvPr>
          <xdr:cNvSpPr/>
        </xdr:nvSpPr>
        <xdr:spPr>
          <a:xfrm>
            <a:off x="6089275" y="776288"/>
            <a:ext cx="2196354" cy="107632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TextBox 37">
            <a:extLst>
              <a:ext uri="{FF2B5EF4-FFF2-40B4-BE49-F238E27FC236}">
                <a16:creationId xmlns:a16="http://schemas.microsoft.com/office/drawing/2014/main" id="{6BCA8011-3FCD-4F9F-AD1B-4C238612CBF7}"/>
              </a:ext>
            </a:extLst>
          </xdr:cNvPr>
          <xdr:cNvSpPr txBox="1"/>
        </xdr:nvSpPr>
        <xdr:spPr>
          <a:xfrm>
            <a:off x="6313634" y="921803"/>
            <a:ext cx="1443069"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64748B"/>
                </a:solidFill>
              </a:rPr>
              <a:t>Average</a:t>
            </a:r>
            <a:r>
              <a:rPr lang="en-US" sz="1400" b="1" baseline="0">
                <a:solidFill>
                  <a:srgbClr val="64748B"/>
                </a:solidFill>
              </a:rPr>
              <a:t> ROI</a:t>
            </a:r>
            <a:endParaRPr lang="en-US" sz="1400" b="1">
              <a:solidFill>
                <a:srgbClr val="64748B"/>
              </a:solidFill>
            </a:endParaRPr>
          </a:p>
        </xdr:txBody>
      </xdr:sp>
      <xdr:sp macro="" textlink="Calculations!B5">
        <xdr:nvSpPr>
          <xdr:cNvPr id="41" name="TextBox 40">
            <a:extLst>
              <a:ext uri="{FF2B5EF4-FFF2-40B4-BE49-F238E27FC236}">
                <a16:creationId xmlns:a16="http://schemas.microsoft.com/office/drawing/2014/main" id="{5A785071-0BB2-44A0-A448-81B4C78EB10E}"/>
              </a:ext>
            </a:extLst>
          </xdr:cNvPr>
          <xdr:cNvSpPr txBox="1"/>
        </xdr:nvSpPr>
        <xdr:spPr>
          <a:xfrm>
            <a:off x="6313635" y="1117599"/>
            <a:ext cx="1421902" cy="6032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75FF2A-D3DA-444D-947B-63312F861D90}" type="TxLink">
              <a:rPr lang="en-US" sz="3200" b="1" i="0" u="none" strike="noStrike">
                <a:solidFill>
                  <a:srgbClr val="0F172A"/>
                </a:solidFill>
                <a:latin typeface="Aptos Narrow"/>
                <a:ea typeface="+mn-ea"/>
                <a:cs typeface="+mn-cs"/>
              </a:rPr>
              <a:pPr marL="0" indent="0"/>
              <a:t>339.2%</a:t>
            </a:fld>
            <a:endParaRPr lang="en-US" sz="3200" b="1" i="0" u="none" strike="noStrike">
              <a:solidFill>
                <a:srgbClr val="0F172A"/>
              </a:solidFill>
              <a:latin typeface="Aptos Narrow"/>
              <a:ea typeface="+mn-ea"/>
              <a:cs typeface="+mn-cs"/>
            </a:endParaRPr>
          </a:p>
        </xdr:txBody>
      </xdr:sp>
    </xdr:grpSp>
    <xdr:clientData/>
  </xdr:twoCellAnchor>
  <xdr:twoCellAnchor>
    <xdr:from>
      <xdr:col>13</xdr:col>
      <xdr:colOff>523874</xdr:colOff>
      <xdr:row>4</xdr:row>
      <xdr:rowOff>14288</xdr:rowOff>
    </xdr:from>
    <xdr:to>
      <xdr:col>17</xdr:col>
      <xdr:colOff>571497</xdr:colOff>
      <xdr:row>9</xdr:row>
      <xdr:rowOff>138113</xdr:rowOff>
    </xdr:to>
    <xdr:grpSp>
      <xdr:nvGrpSpPr>
        <xdr:cNvPr id="71" name="Group 70">
          <a:extLst>
            <a:ext uri="{FF2B5EF4-FFF2-40B4-BE49-F238E27FC236}">
              <a16:creationId xmlns:a16="http://schemas.microsoft.com/office/drawing/2014/main" id="{CFC6F0C6-9605-6F4A-C99E-7FF08188DB7E}"/>
            </a:ext>
          </a:extLst>
        </xdr:cNvPr>
        <xdr:cNvGrpSpPr/>
      </xdr:nvGrpSpPr>
      <xdr:grpSpPr>
        <a:xfrm>
          <a:off x="8448674" y="776288"/>
          <a:ext cx="2486023" cy="1076325"/>
          <a:chOff x="8390403" y="776288"/>
          <a:chExt cx="2468094" cy="1076325"/>
        </a:xfrm>
      </xdr:grpSpPr>
      <xdr:sp macro="" textlink="">
        <xdr:nvSpPr>
          <xdr:cNvPr id="12" name="Rectangle 11">
            <a:extLst>
              <a:ext uri="{FF2B5EF4-FFF2-40B4-BE49-F238E27FC236}">
                <a16:creationId xmlns:a16="http://schemas.microsoft.com/office/drawing/2014/main" id="{84D71A4E-99B9-4DC7-9A20-53779FF28613}"/>
              </a:ext>
            </a:extLst>
          </xdr:cNvPr>
          <xdr:cNvSpPr/>
        </xdr:nvSpPr>
        <xdr:spPr>
          <a:xfrm>
            <a:off x="8390403" y="776288"/>
            <a:ext cx="2191872" cy="107632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TextBox 38">
            <a:extLst>
              <a:ext uri="{FF2B5EF4-FFF2-40B4-BE49-F238E27FC236}">
                <a16:creationId xmlns:a16="http://schemas.microsoft.com/office/drawing/2014/main" id="{FF468781-E254-4BB6-BE11-82FEA82010A7}"/>
              </a:ext>
            </a:extLst>
          </xdr:cNvPr>
          <xdr:cNvSpPr txBox="1"/>
        </xdr:nvSpPr>
        <xdr:spPr>
          <a:xfrm>
            <a:off x="8600761" y="921803"/>
            <a:ext cx="2257736"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64748B"/>
                </a:solidFill>
              </a:rPr>
              <a:t>Avearage</a:t>
            </a:r>
            <a:r>
              <a:rPr lang="en-US" sz="1400" b="1" baseline="0">
                <a:solidFill>
                  <a:srgbClr val="64748B"/>
                </a:solidFill>
              </a:rPr>
              <a:t> Movie Duration</a:t>
            </a:r>
            <a:endParaRPr lang="en-US" sz="1400" b="1">
              <a:solidFill>
                <a:srgbClr val="64748B"/>
              </a:solidFill>
            </a:endParaRPr>
          </a:p>
        </xdr:txBody>
      </xdr:sp>
      <xdr:sp macro="" textlink="Calculations!B6">
        <xdr:nvSpPr>
          <xdr:cNvPr id="42" name="TextBox 41">
            <a:extLst>
              <a:ext uri="{FF2B5EF4-FFF2-40B4-BE49-F238E27FC236}">
                <a16:creationId xmlns:a16="http://schemas.microsoft.com/office/drawing/2014/main" id="{274FFDBE-3986-4B91-B316-385BDFF59158}"/>
              </a:ext>
            </a:extLst>
          </xdr:cNvPr>
          <xdr:cNvSpPr txBox="1"/>
        </xdr:nvSpPr>
        <xdr:spPr>
          <a:xfrm>
            <a:off x="8600753" y="1117599"/>
            <a:ext cx="1961413" cy="6032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79B14E5-B90B-43E5-A0C3-02770C0D98A7}" type="TxLink">
              <a:rPr lang="en-US" sz="3200" b="1" i="0" u="none" strike="noStrike">
                <a:solidFill>
                  <a:srgbClr val="0F172A"/>
                </a:solidFill>
                <a:latin typeface="Aptos Narrow"/>
                <a:ea typeface="+mn-ea"/>
                <a:cs typeface="+mn-cs"/>
              </a:rPr>
              <a:pPr marL="0" indent="0"/>
              <a:t>130.9Mins</a:t>
            </a:fld>
            <a:endParaRPr lang="en-US" sz="3200" b="1" i="0" u="none" strike="noStrike">
              <a:solidFill>
                <a:srgbClr val="0F172A"/>
              </a:solidFill>
              <a:latin typeface="Aptos Narrow"/>
              <a:ea typeface="+mn-ea"/>
              <a:cs typeface="+mn-cs"/>
            </a:endParaRPr>
          </a:p>
        </xdr:txBody>
      </xdr:sp>
    </xdr:grpSp>
    <xdr:clientData/>
  </xdr:twoCellAnchor>
  <xdr:twoCellAnchor>
    <xdr:from>
      <xdr:col>12</xdr:col>
      <xdr:colOff>131229</xdr:colOff>
      <xdr:row>10</xdr:row>
      <xdr:rowOff>26803</xdr:rowOff>
    </xdr:from>
    <xdr:to>
      <xdr:col>20</xdr:col>
      <xdr:colOff>254000</xdr:colOff>
      <xdr:row>22</xdr:row>
      <xdr:rowOff>0</xdr:rowOff>
    </xdr:to>
    <xdr:grpSp>
      <xdr:nvGrpSpPr>
        <xdr:cNvPr id="45" name="Group 44">
          <a:extLst>
            <a:ext uri="{FF2B5EF4-FFF2-40B4-BE49-F238E27FC236}">
              <a16:creationId xmlns:a16="http://schemas.microsoft.com/office/drawing/2014/main" id="{0C0D4B44-2929-A4E5-E06B-39BDC300016E}"/>
            </a:ext>
          </a:extLst>
        </xdr:cNvPr>
        <xdr:cNvGrpSpPr/>
      </xdr:nvGrpSpPr>
      <xdr:grpSpPr>
        <a:xfrm>
          <a:off x="7446429" y="1931803"/>
          <a:ext cx="4999571" cy="2259197"/>
          <a:chOff x="7571314" y="2154053"/>
          <a:chExt cx="5302251" cy="2962114"/>
        </a:xfrm>
      </xdr:grpSpPr>
      <xdr:sp macro="" textlink="">
        <xdr:nvSpPr>
          <xdr:cNvPr id="25" name="Rectangle 24">
            <a:extLst>
              <a:ext uri="{FF2B5EF4-FFF2-40B4-BE49-F238E27FC236}">
                <a16:creationId xmlns:a16="http://schemas.microsoft.com/office/drawing/2014/main" id="{24A580FF-5DFF-4CCD-A93C-5EFD196AEDC1}"/>
              </a:ext>
            </a:extLst>
          </xdr:cNvPr>
          <xdr:cNvSpPr/>
        </xdr:nvSpPr>
        <xdr:spPr>
          <a:xfrm>
            <a:off x="7607295" y="2184929"/>
            <a:ext cx="5230288" cy="29003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3" name="Chart 42">
            <a:extLst>
              <a:ext uri="{FF2B5EF4-FFF2-40B4-BE49-F238E27FC236}">
                <a16:creationId xmlns:a16="http://schemas.microsoft.com/office/drawing/2014/main" id="{2395EF82-EAD9-4772-915F-C9491417337A}"/>
              </a:ext>
            </a:extLst>
          </xdr:cNvPr>
          <xdr:cNvGraphicFramePr>
            <a:graphicFrameLocks/>
          </xdr:cNvGraphicFramePr>
        </xdr:nvGraphicFramePr>
        <xdr:xfrm>
          <a:off x="7571314" y="2154053"/>
          <a:ext cx="5302251" cy="2962114"/>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xdr:col>
      <xdr:colOff>313266</xdr:colOff>
      <xdr:row>28</xdr:row>
      <xdr:rowOff>34733</xdr:rowOff>
    </xdr:from>
    <xdr:to>
      <xdr:col>12</xdr:col>
      <xdr:colOff>63500</xdr:colOff>
      <xdr:row>40</xdr:row>
      <xdr:rowOff>74083</xdr:rowOff>
    </xdr:to>
    <xdr:grpSp>
      <xdr:nvGrpSpPr>
        <xdr:cNvPr id="52" name="Group 51">
          <a:extLst>
            <a:ext uri="{FF2B5EF4-FFF2-40B4-BE49-F238E27FC236}">
              <a16:creationId xmlns:a16="http://schemas.microsoft.com/office/drawing/2014/main" id="{9242479F-C645-F9A7-339E-9D624ED55E0F}"/>
            </a:ext>
          </a:extLst>
        </xdr:cNvPr>
        <xdr:cNvGrpSpPr/>
      </xdr:nvGrpSpPr>
      <xdr:grpSpPr>
        <a:xfrm>
          <a:off x="1532466" y="5368733"/>
          <a:ext cx="5846234" cy="2325350"/>
          <a:chOff x="1540933" y="5368733"/>
          <a:chExt cx="5888567" cy="2325350"/>
        </a:xfrm>
      </xdr:grpSpPr>
      <xdr:sp macro="" textlink="">
        <xdr:nvSpPr>
          <xdr:cNvPr id="30" name="Rectangle 29">
            <a:extLst>
              <a:ext uri="{FF2B5EF4-FFF2-40B4-BE49-F238E27FC236}">
                <a16:creationId xmlns:a16="http://schemas.microsoft.com/office/drawing/2014/main" id="{75D1A52B-A183-48D8-A908-F06BCF624C86}"/>
              </a:ext>
            </a:extLst>
          </xdr:cNvPr>
          <xdr:cNvSpPr/>
        </xdr:nvSpPr>
        <xdr:spPr>
          <a:xfrm>
            <a:off x="1540933" y="5368733"/>
            <a:ext cx="5888567" cy="23253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8" name="Chart 47">
            <a:extLst>
              <a:ext uri="{FF2B5EF4-FFF2-40B4-BE49-F238E27FC236}">
                <a16:creationId xmlns:a16="http://schemas.microsoft.com/office/drawing/2014/main" id="{32794207-71A6-4520-91F4-50151F833258}"/>
              </a:ext>
            </a:extLst>
          </xdr:cNvPr>
          <xdr:cNvGraphicFramePr>
            <a:graphicFrameLocks/>
          </xdr:cNvGraphicFramePr>
        </xdr:nvGraphicFramePr>
        <xdr:xfrm>
          <a:off x="1587501" y="5376330"/>
          <a:ext cx="5799666" cy="2275419"/>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12</xdr:col>
      <xdr:colOff>169334</xdr:colOff>
      <xdr:row>22</xdr:row>
      <xdr:rowOff>84665</xdr:rowOff>
    </xdr:from>
    <xdr:to>
      <xdr:col>20</xdr:col>
      <xdr:colOff>211666</xdr:colOff>
      <xdr:row>33</xdr:row>
      <xdr:rowOff>169333</xdr:rowOff>
    </xdr:to>
    <xdr:grpSp>
      <xdr:nvGrpSpPr>
        <xdr:cNvPr id="49" name="Group 48">
          <a:extLst>
            <a:ext uri="{FF2B5EF4-FFF2-40B4-BE49-F238E27FC236}">
              <a16:creationId xmlns:a16="http://schemas.microsoft.com/office/drawing/2014/main" id="{6ED85FB3-2453-453D-9D20-EC7B0BE60B4E}"/>
            </a:ext>
          </a:extLst>
        </xdr:cNvPr>
        <xdr:cNvGrpSpPr/>
      </xdr:nvGrpSpPr>
      <xdr:grpSpPr>
        <a:xfrm>
          <a:off x="7484534" y="4275665"/>
          <a:ext cx="4919132" cy="2180168"/>
          <a:chOff x="7541680" y="1968500"/>
          <a:chExt cx="3179237" cy="2889250"/>
        </a:xfrm>
      </xdr:grpSpPr>
      <xdr:sp macro="" textlink="">
        <xdr:nvSpPr>
          <xdr:cNvPr id="50" name="Rectangle 49">
            <a:extLst>
              <a:ext uri="{FF2B5EF4-FFF2-40B4-BE49-F238E27FC236}">
                <a16:creationId xmlns:a16="http://schemas.microsoft.com/office/drawing/2014/main" id="{E3C7E504-C16D-293F-0865-6C47D0540D28}"/>
              </a:ext>
            </a:extLst>
          </xdr:cNvPr>
          <xdr:cNvSpPr/>
        </xdr:nvSpPr>
        <xdr:spPr>
          <a:xfrm>
            <a:off x="7541680" y="1972204"/>
            <a:ext cx="3179237" cy="288554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accent1"/>
              </a:solidFill>
            </a:endParaRPr>
          </a:p>
        </xdr:txBody>
      </xdr:sp>
      <xdr:graphicFrame macro="">
        <xdr:nvGraphicFramePr>
          <xdr:cNvPr id="51" name="Chart 50">
            <a:extLst>
              <a:ext uri="{FF2B5EF4-FFF2-40B4-BE49-F238E27FC236}">
                <a16:creationId xmlns:a16="http://schemas.microsoft.com/office/drawing/2014/main" id="{F4FDCCFE-6437-D30A-4395-280AB9BAE546}"/>
              </a:ext>
            </a:extLst>
          </xdr:cNvPr>
          <xdr:cNvGraphicFramePr>
            <a:graphicFrameLocks/>
          </xdr:cNvGraphicFramePr>
        </xdr:nvGraphicFramePr>
        <xdr:xfrm>
          <a:off x="7577667" y="1968500"/>
          <a:ext cx="3111500" cy="284691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12</xdr:col>
      <xdr:colOff>166162</xdr:colOff>
      <xdr:row>34</xdr:row>
      <xdr:rowOff>39156</xdr:rowOff>
    </xdr:from>
    <xdr:to>
      <xdr:col>20</xdr:col>
      <xdr:colOff>197910</xdr:colOff>
      <xdr:row>46</xdr:row>
      <xdr:rowOff>12697</xdr:rowOff>
    </xdr:to>
    <xdr:grpSp>
      <xdr:nvGrpSpPr>
        <xdr:cNvPr id="55" name="Group 54">
          <a:extLst>
            <a:ext uri="{FF2B5EF4-FFF2-40B4-BE49-F238E27FC236}">
              <a16:creationId xmlns:a16="http://schemas.microsoft.com/office/drawing/2014/main" id="{6B1E4570-F746-B4AD-A6A4-6A299A2F7246}"/>
            </a:ext>
          </a:extLst>
        </xdr:cNvPr>
        <xdr:cNvGrpSpPr/>
      </xdr:nvGrpSpPr>
      <xdr:grpSpPr>
        <a:xfrm>
          <a:off x="7481362" y="6516156"/>
          <a:ext cx="4908548" cy="2259541"/>
          <a:chOff x="7532162" y="6547905"/>
          <a:chExt cx="4942415" cy="2243667"/>
        </a:xfrm>
      </xdr:grpSpPr>
      <xdr:sp macro="" textlink="">
        <xdr:nvSpPr>
          <xdr:cNvPr id="47" name="Rectangle 46">
            <a:extLst>
              <a:ext uri="{FF2B5EF4-FFF2-40B4-BE49-F238E27FC236}">
                <a16:creationId xmlns:a16="http://schemas.microsoft.com/office/drawing/2014/main" id="{37C902AC-F5CA-44FF-A345-C6C60863EC41}"/>
              </a:ext>
            </a:extLst>
          </xdr:cNvPr>
          <xdr:cNvSpPr/>
        </xdr:nvSpPr>
        <xdr:spPr>
          <a:xfrm>
            <a:off x="7532162" y="6563780"/>
            <a:ext cx="4942415" cy="2211917"/>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3" name="Chart 52">
            <a:extLst>
              <a:ext uri="{FF2B5EF4-FFF2-40B4-BE49-F238E27FC236}">
                <a16:creationId xmlns:a16="http://schemas.microsoft.com/office/drawing/2014/main" id="{1DEE537D-B4BB-4679-849E-D7B6D4462FF0}"/>
              </a:ext>
            </a:extLst>
          </xdr:cNvPr>
          <xdr:cNvGraphicFramePr>
            <a:graphicFrameLocks/>
          </xdr:cNvGraphicFramePr>
        </xdr:nvGraphicFramePr>
        <xdr:xfrm>
          <a:off x="7563911" y="6516156"/>
          <a:ext cx="4878917" cy="2243667"/>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xdr:col>
      <xdr:colOff>285749</xdr:colOff>
      <xdr:row>4</xdr:row>
      <xdr:rowOff>14288</xdr:rowOff>
    </xdr:from>
    <xdr:to>
      <xdr:col>6</xdr:col>
      <xdr:colOff>57150</xdr:colOff>
      <xdr:row>9</xdr:row>
      <xdr:rowOff>138113</xdr:rowOff>
    </xdr:to>
    <xdr:grpSp>
      <xdr:nvGrpSpPr>
        <xdr:cNvPr id="68" name="Group 67">
          <a:extLst>
            <a:ext uri="{FF2B5EF4-FFF2-40B4-BE49-F238E27FC236}">
              <a16:creationId xmlns:a16="http://schemas.microsoft.com/office/drawing/2014/main" id="{A8BDA4CE-D7AE-0705-1F86-EFA4CA41D784}"/>
            </a:ext>
          </a:extLst>
        </xdr:cNvPr>
        <xdr:cNvGrpSpPr/>
      </xdr:nvGrpSpPr>
      <xdr:grpSpPr>
        <a:xfrm>
          <a:off x="1504949" y="776288"/>
          <a:ext cx="2209801" cy="1076325"/>
          <a:chOff x="1495984" y="776288"/>
          <a:chExt cx="2191872" cy="1076325"/>
        </a:xfrm>
      </xdr:grpSpPr>
      <xdr:sp macro="" textlink="">
        <xdr:nvSpPr>
          <xdr:cNvPr id="9" name="Rectangle 8">
            <a:extLst>
              <a:ext uri="{FF2B5EF4-FFF2-40B4-BE49-F238E27FC236}">
                <a16:creationId xmlns:a16="http://schemas.microsoft.com/office/drawing/2014/main" id="{06C9E792-DF88-41EE-A515-FD9D26419CA7}"/>
              </a:ext>
            </a:extLst>
          </xdr:cNvPr>
          <xdr:cNvSpPr/>
        </xdr:nvSpPr>
        <xdr:spPr>
          <a:xfrm>
            <a:off x="1495984" y="776288"/>
            <a:ext cx="2191872" cy="107632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TextBox 35">
            <a:extLst>
              <a:ext uri="{FF2B5EF4-FFF2-40B4-BE49-F238E27FC236}">
                <a16:creationId xmlns:a16="http://schemas.microsoft.com/office/drawing/2014/main" id="{FF1660B5-0C14-BA69-95B3-92497DDCAF7E}"/>
              </a:ext>
            </a:extLst>
          </xdr:cNvPr>
          <xdr:cNvSpPr txBox="1"/>
        </xdr:nvSpPr>
        <xdr:spPr>
          <a:xfrm>
            <a:off x="1707642" y="921803"/>
            <a:ext cx="1434353"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64748B"/>
                </a:solidFill>
              </a:rPr>
              <a:t>Total Revenue</a:t>
            </a:r>
          </a:p>
        </xdr:txBody>
      </xdr:sp>
      <xdr:sp macro="" textlink="Calculations!B3">
        <xdr:nvSpPr>
          <xdr:cNvPr id="35" name="TextBox 34">
            <a:extLst>
              <a:ext uri="{FF2B5EF4-FFF2-40B4-BE49-F238E27FC236}">
                <a16:creationId xmlns:a16="http://schemas.microsoft.com/office/drawing/2014/main" id="{79D2DF71-F60A-BEDE-6801-B3578D249A5E}"/>
              </a:ext>
            </a:extLst>
          </xdr:cNvPr>
          <xdr:cNvSpPr txBox="1"/>
        </xdr:nvSpPr>
        <xdr:spPr>
          <a:xfrm>
            <a:off x="1718230" y="1117599"/>
            <a:ext cx="1413186" cy="6032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3CD2549-3D2D-4E44-BA1C-FA39AE4AB7A3}" type="TxLink">
              <a:rPr lang="en-US" sz="3200" b="1" i="0" u="none" strike="noStrike">
                <a:solidFill>
                  <a:srgbClr val="0F172A"/>
                </a:solidFill>
                <a:latin typeface="Aptos Narrow"/>
                <a:ea typeface="+mn-ea"/>
                <a:cs typeface="+mn-cs"/>
              </a:rPr>
              <a:pPr marL="0" indent="0"/>
              <a:t>$34.7B</a:t>
            </a:fld>
            <a:endParaRPr lang="en-US" sz="3200" b="1" i="0" u="none" strike="noStrike">
              <a:solidFill>
                <a:srgbClr val="0F172A"/>
              </a:solidFill>
              <a:latin typeface="Aptos Narrow"/>
              <a:ea typeface="+mn-ea"/>
              <a:cs typeface="+mn-cs"/>
            </a:endParaRPr>
          </a:p>
        </xdr:txBody>
      </xdr:sp>
    </xdr:grpSp>
    <xdr:clientData/>
  </xdr:twoCellAnchor>
  <xdr:twoCellAnchor>
    <xdr:from>
      <xdr:col>0</xdr:col>
      <xdr:colOff>76200</xdr:colOff>
      <xdr:row>0</xdr:row>
      <xdr:rowOff>63500</xdr:rowOff>
    </xdr:from>
    <xdr:to>
      <xdr:col>2</xdr:col>
      <xdr:colOff>180976</xdr:colOff>
      <xdr:row>40</xdr:row>
      <xdr:rowOff>84667</xdr:rowOff>
    </xdr:to>
    <xdr:grpSp>
      <xdr:nvGrpSpPr>
        <xdr:cNvPr id="66" name="Group 65">
          <a:extLst>
            <a:ext uri="{FF2B5EF4-FFF2-40B4-BE49-F238E27FC236}">
              <a16:creationId xmlns:a16="http://schemas.microsoft.com/office/drawing/2014/main" id="{A1F45290-90BC-5B09-81FA-D7F90CD32D71}"/>
            </a:ext>
          </a:extLst>
        </xdr:cNvPr>
        <xdr:cNvGrpSpPr/>
      </xdr:nvGrpSpPr>
      <xdr:grpSpPr>
        <a:xfrm>
          <a:off x="76200" y="63500"/>
          <a:ext cx="1323976" cy="7641167"/>
          <a:chOff x="76200" y="63500"/>
          <a:chExt cx="1315011" cy="7641167"/>
        </a:xfrm>
      </xdr:grpSpPr>
      <xdr:sp macro="" textlink="">
        <xdr:nvSpPr>
          <xdr:cNvPr id="4" name="Rectangle 3">
            <a:extLst>
              <a:ext uri="{FF2B5EF4-FFF2-40B4-BE49-F238E27FC236}">
                <a16:creationId xmlns:a16="http://schemas.microsoft.com/office/drawing/2014/main" id="{FF79AA83-AEC5-1CD9-432F-0223DFECAD08}"/>
              </a:ext>
            </a:extLst>
          </xdr:cNvPr>
          <xdr:cNvSpPr/>
        </xdr:nvSpPr>
        <xdr:spPr>
          <a:xfrm>
            <a:off x="76200" y="63500"/>
            <a:ext cx="1315011" cy="7641167"/>
          </a:xfrm>
          <a:prstGeom prst="rect">
            <a:avLst/>
          </a:prstGeom>
          <a:solidFill>
            <a:schemeClr val="bg1"/>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4" name="Group 63">
            <a:extLst>
              <a:ext uri="{FF2B5EF4-FFF2-40B4-BE49-F238E27FC236}">
                <a16:creationId xmlns:a16="http://schemas.microsoft.com/office/drawing/2014/main" id="{C3FD3846-C226-C340-79EC-A98170A82D0D}"/>
              </a:ext>
            </a:extLst>
          </xdr:cNvPr>
          <xdr:cNvGrpSpPr/>
        </xdr:nvGrpSpPr>
        <xdr:grpSpPr>
          <a:xfrm>
            <a:off x="194736" y="1245651"/>
            <a:ext cx="1110751" cy="3438514"/>
            <a:chOff x="194736" y="1245651"/>
            <a:chExt cx="1110751" cy="3438514"/>
          </a:xfrm>
        </xdr:grpSpPr>
        <xdr:grpSp>
          <xdr:nvGrpSpPr>
            <xdr:cNvPr id="19" name="Group 18">
              <a:extLst>
                <a:ext uri="{FF2B5EF4-FFF2-40B4-BE49-F238E27FC236}">
                  <a16:creationId xmlns:a16="http://schemas.microsoft.com/office/drawing/2014/main" id="{6DA7F1A5-B1D6-2A74-C20E-9B4A0AF8C5FF}"/>
                </a:ext>
              </a:extLst>
            </xdr:cNvPr>
            <xdr:cNvGrpSpPr/>
          </xdr:nvGrpSpPr>
          <xdr:grpSpPr>
            <a:xfrm>
              <a:off x="194736" y="1245651"/>
              <a:ext cx="1110751" cy="468840"/>
              <a:chOff x="194736" y="801161"/>
              <a:chExt cx="1128183" cy="468840"/>
            </a:xfrm>
          </xdr:grpSpPr>
          <xdr:sp macro="" textlink="">
            <xdr:nvSpPr>
              <xdr:cNvPr id="6" name="Rectangle 5">
                <a:extLst>
                  <a:ext uri="{FF2B5EF4-FFF2-40B4-BE49-F238E27FC236}">
                    <a16:creationId xmlns:a16="http://schemas.microsoft.com/office/drawing/2014/main" id="{F1FB3235-887E-4D6A-A3EC-1A761CC1101F}"/>
                  </a:ext>
                </a:extLst>
              </xdr:cNvPr>
              <xdr:cNvSpPr/>
            </xdr:nvSpPr>
            <xdr:spPr>
              <a:xfrm>
                <a:off x="194736" y="801161"/>
                <a:ext cx="1128183" cy="468840"/>
              </a:xfrm>
              <a:prstGeom prst="rect">
                <a:avLst/>
              </a:prstGeom>
              <a:solidFill>
                <a:srgbClr val="C8102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solidFill>
                    <a:schemeClr val="bg1"/>
                  </a:solidFill>
                </a:endParaRPr>
              </a:p>
            </xdr:txBody>
          </xdr:sp>
          <xdr:sp macro="" textlink="">
            <xdr:nvSpPr>
              <xdr:cNvPr id="17" name="TextBox 16">
                <a:hlinkClick xmlns:r="http://schemas.openxmlformats.org/officeDocument/2006/relationships" r:id="rId6"/>
                <a:extLst>
                  <a:ext uri="{FF2B5EF4-FFF2-40B4-BE49-F238E27FC236}">
                    <a16:creationId xmlns:a16="http://schemas.microsoft.com/office/drawing/2014/main" id="{242EDC30-877C-F9AF-437A-D9C022E4EB81}"/>
                  </a:ext>
                </a:extLst>
              </xdr:cNvPr>
              <xdr:cNvSpPr txBox="1"/>
            </xdr:nvSpPr>
            <xdr:spPr>
              <a:xfrm>
                <a:off x="224369" y="860956"/>
                <a:ext cx="1068916" cy="3492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Overview</a:t>
                </a:r>
              </a:p>
            </xdr:txBody>
          </xdr:sp>
        </xdr:grpSp>
        <xdr:grpSp>
          <xdr:nvGrpSpPr>
            <xdr:cNvPr id="21" name="Group 20">
              <a:extLst>
                <a:ext uri="{FF2B5EF4-FFF2-40B4-BE49-F238E27FC236}">
                  <a16:creationId xmlns:a16="http://schemas.microsoft.com/office/drawing/2014/main" id="{241F57BC-978B-67F2-3733-C4E8987ED017}"/>
                </a:ext>
              </a:extLst>
            </xdr:cNvPr>
            <xdr:cNvGrpSpPr/>
          </xdr:nvGrpSpPr>
          <xdr:grpSpPr>
            <a:xfrm>
              <a:off x="194736" y="1990714"/>
              <a:ext cx="1110751" cy="468840"/>
              <a:chOff x="194736" y="1493309"/>
              <a:chExt cx="1128183" cy="468840"/>
            </a:xfrm>
          </xdr:grpSpPr>
          <xdr:sp macro="" textlink="">
            <xdr:nvSpPr>
              <xdr:cNvPr id="7" name="Rectangle 6">
                <a:extLst>
                  <a:ext uri="{FF2B5EF4-FFF2-40B4-BE49-F238E27FC236}">
                    <a16:creationId xmlns:a16="http://schemas.microsoft.com/office/drawing/2014/main" id="{A3E4982A-3BA2-4362-BCA1-679D463C4D8B}"/>
                  </a:ext>
                </a:extLst>
              </xdr:cNvPr>
              <xdr:cNvSpPr/>
            </xdr:nvSpPr>
            <xdr:spPr>
              <a:xfrm>
                <a:off x="194736" y="1493309"/>
                <a:ext cx="1128183" cy="468840"/>
              </a:xfrm>
              <a:prstGeom prst="rect">
                <a:avLst/>
              </a:prstGeom>
              <a:solidFill>
                <a:srgbClr val="C8102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solidFill>
                    <a:schemeClr val="bg1"/>
                  </a:solidFill>
                </a:endParaRPr>
              </a:p>
            </xdr:txBody>
          </xdr:sp>
          <xdr:sp macro="" textlink="">
            <xdr:nvSpPr>
              <xdr:cNvPr id="18" name="TextBox 17">
                <a:hlinkClick xmlns:r="http://schemas.openxmlformats.org/officeDocument/2006/relationships" r:id="rId7"/>
                <a:extLst>
                  <a:ext uri="{FF2B5EF4-FFF2-40B4-BE49-F238E27FC236}">
                    <a16:creationId xmlns:a16="http://schemas.microsoft.com/office/drawing/2014/main" id="{5709AC81-882B-4B78-8185-7467BE81157D}"/>
                  </a:ext>
                </a:extLst>
              </xdr:cNvPr>
              <xdr:cNvSpPr txBox="1"/>
            </xdr:nvSpPr>
            <xdr:spPr>
              <a:xfrm>
                <a:off x="224369" y="1553104"/>
                <a:ext cx="1068916" cy="3492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50" b="1">
                    <a:solidFill>
                      <a:schemeClr val="bg1"/>
                    </a:solidFill>
                  </a:rPr>
                  <a:t>Calculations</a:t>
                </a:r>
              </a:p>
            </xdr:txBody>
          </xdr:sp>
        </xdr:grpSp>
        <xdr:grpSp>
          <xdr:nvGrpSpPr>
            <xdr:cNvPr id="24" name="Group 23">
              <a:extLst>
                <a:ext uri="{FF2B5EF4-FFF2-40B4-BE49-F238E27FC236}">
                  <a16:creationId xmlns:a16="http://schemas.microsoft.com/office/drawing/2014/main" id="{19B0E503-6A2B-30B8-403A-ECE630D1394E}"/>
                </a:ext>
              </a:extLst>
            </xdr:cNvPr>
            <xdr:cNvGrpSpPr/>
          </xdr:nvGrpSpPr>
          <xdr:grpSpPr>
            <a:xfrm>
              <a:off x="194736" y="2725190"/>
              <a:ext cx="1110751" cy="468840"/>
              <a:chOff x="194736" y="2174870"/>
              <a:chExt cx="1128183" cy="468840"/>
            </a:xfrm>
          </xdr:grpSpPr>
          <xdr:sp macro="" textlink="">
            <xdr:nvSpPr>
              <xdr:cNvPr id="13" name="Rectangle 12">
                <a:extLst>
                  <a:ext uri="{FF2B5EF4-FFF2-40B4-BE49-F238E27FC236}">
                    <a16:creationId xmlns:a16="http://schemas.microsoft.com/office/drawing/2014/main" id="{7A4EFEDE-2AE7-4EC2-9647-EE3B4C7B097B}"/>
                  </a:ext>
                </a:extLst>
              </xdr:cNvPr>
              <xdr:cNvSpPr/>
            </xdr:nvSpPr>
            <xdr:spPr>
              <a:xfrm>
                <a:off x="194736" y="2174870"/>
                <a:ext cx="1128183" cy="468840"/>
              </a:xfrm>
              <a:prstGeom prst="rect">
                <a:avLst/>
              </a:prstGeom>
              <a:solidFill>
                <a:srgbClr val="C8102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solidFill>
                    <a:schemeClr val="bg1"/>
                  </a:solidFill>
                </a:endParaRPr>
              </a:p>
            </xdr:txBody>
          </xdr:sp>
          <xdr:sp macro="" textlink="">
            <xdr:nvSpPr>
              <xdr:cNvPr id="20" name="TextBox 19">
                <a:hlinkClick xmlns:r="http://schemas.openxmlformats.org/officeDocument/2006/relationships" r:id="rId8"/>
                <a:extLst>
                  <a:ext uri="{FF2B5EF4-FFF2-40B4-BE49-F238E27FC236}">
                    <a16:creationId xmlns:a16="http://schemas.microsoft.com/office/drawing/2014/main" id="{DC281BA8-E9EB-4334-A08E-BDAFF45764F4}"/>
                  </a:ext>
                </a:extLst>
              </xdr:cNvPr>
              <xdr:cNvSpPr txBox="1"/>
            </xdr:nvSpPr>
            <xdr:spPr>
              <a:xfrm>
                <a:off x="224369" y="2234665"/>
                <a:ext cx="1068916" cy="3492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bg1"/>
                    </a:solidFill>
                  </a:rPr>
                  <a:t>Cleaned Data</a:t>
                </a:r>
              </a:p>
            </xdr:txBody>
          </xdr:sp>
        </xdr:grpSp>
        <xdr:grpSp>
          <xdr:nvGrpSpPr>
            <xdr:cNvPr id="26" name="Group 25">
              <a:extLst>
                <a:ext uri="{FF2B5EF4-FFF2-40B4-BE49-F238E27FC236}">
                  <a16:creationId xmlns:a16="http://schemas.microsoft.com/office/drawing/2014/main" id="{B2979BAB-C1FB-208B-56CB-496EB0FE7C76}"/>
                </a:ext>
              </a:extLst>
            </xdr:cNvPr>
            <xdr:cNvGrpSpPr/>
          </xdr:nvGrpSpPr>
          <xdr:grpSpPr>
            <a:xfrm>
              <a:off x="194736" y="3470256"/>
              <a:ext cx="1110751" cy="468840"/>
              <a:chOff x="194736" y="2867021"/>
              <a:chExt cx="1128183" cy="468840"/>
            </a:xfrm>
          </xdr:grpSpPr>
          <xdr:sp macro="" textlink="">
            <xdr:nvSpPr>
              <xdr:cNvPr id="15" name="Rectangle 14">
                <a:extLst>
                  <a:ext uri="{FF2B5EF4-FFF2-40B4-BE49-F238E27FC236}">
                    <a16:creationId xmlns:a16="http://schemas.microsoft.com/office/drawing/2014/main" id="{B2EE5E8E-8E21-4A7C-995D-1900729AA210}"/>
                  </a:ext>
                </a:extLst>
              </xdr:cNvPr>
              <xdr:cNvSpPr/>
            </xdr:nvSpPr>
            <xdr:spPr>
              <a:xfrm>
                <a:off x="194736" y="2867021"/>
                <a:ext cx="1128183" cy="468840"/>
              </a:xfrm>
              <a:prstGeom prst="rect">
                <a:avLst/>
              </a:prstGeom>
              <a:solidFill>
                <a:srgbClr val="C8102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solidFill>
                    <a:schemeClr val="bg1"/>
                  </a:solidFill>
                </a:endParaRPr>
              </a:p>
            </xdr:txBody>
          </xdr:sp>
          <xdr:sp macro="" textlink="">
            <xdr:nvSpPr>
              <xdr:cNvPr id="22" name="TextBox 21">
                <a:hlinkClick xmlns:r="http://schemas.openxmlformats.org/officeDocument/2006/relationships" r:id="rId9"/>
                <a:extLst>
                  <a:ext uri="{FF2B5EF4-FFF2-40B4-BE49-F238E27FC236}">
                    <a16:creationId xmlns:a16="http://schemas.microsoft.com/office/drawing/2014/main" id="{7BB32EC7-DDEC-4274-AB45-B407FAE430B1}"/>
                  </a:ext>
                </a:extLst>
              </xdr:cNvPr>
              <xdr:cNvSpPr txBox="1"/>
            </xdr:nvSpPr>
            <xdr:spPr>
              <a:xfrm>
                <a:off x="224369" y="2926816"/>
                <a:ext cx="1068916" cy="3492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Raw Data</a:t>
                </a:r>
              </a:p>
            </xdr:txBody>
          </xdr:sp>
        </xdr:grpSp>
        <xdr:grpSp>
          <xdr:nvGrpSpPr>
            <xdr:cNvPr id="29" name="Group 28">
              <a:extLst>
                <a:ext uri="{FF2B5EF4-FFF2-40B4-BE49-F238E27FC236}">
                  <a16:creationId xmlns:a16="http://schemas.microsoft.com/office/drawing/2014/main" id="{D3F96AA5-2915-3676-4783-5628E82005CF}"/>
                </a:ext>
              </a:extLst>
            </xdr:cNvPr>
            <xdr:cNvGrpSpPr/>
          </xdr:nvGrpSpPr>
          <xdr:grpSpPr>
            <a:xfrm>
              <a:off x="194736" y="4215325"/>
              <a:ext cx="1110751" cy="468840"/>
              <a:chOff x="194736" y="3559175"/>
              <a:chExt cx="1128183" cy="468840"/>
            </a:xfrm>
          </xdr:grpSpPr>
          <xdr:sp macro="" textlink="">
            <xdr:nvSpPr>
              <xdr:cNvPr id="16" name="Rectangle 15">
                <a:extLst>
                  <a:ext uri="{FF2B5EF4-FFF2-40B4-BE49-F238E27FC236}">
                    <a16:creationId xmlns:a16="http://schemas.microsoft.com/office/drawing/2014/main" id="{E7A43F41-A591-41FF-98F1-DA8AE5E1D211}"/>
                  </a:ext>
                </a:extLst>
              </xdr:cNvPr>
              <xdr:cNvSpPr/>
            </xdr:nvSpPr>
            <xdr:spPr>
              <a:xfrm>
                <a:off x="194736" y="3559175"/>
                <a:ext cx="1128183" cy="468840"/>
              </a:xfrm>
              <a:prstGeom prst="rect">
                <a:avLst/>
              </a:prstGeom>
              <a:solidFill>
                <a:srgbClr val="C8102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solidFill>
                    <a:schemeClr val="bg1"/>
                  </a:solidFill>
                </a:endParaRPr>
              </a:p>
            </xdr:txBody>
          </xdr:sp>
          <xdr:sp macro="" textlink="">
            <xdr:nvSpPr>
              <xdr:cNvPr id="23" name="TextBox 22">
                <a:hlinkClick xmlns:r="http://schemas.openxmlformats.org/officeDocument/2006/relationships" r:id="rId10"/>
                <a:extLst>
                  <a:ext uri="{FF2B5EF4-FFF2-40B4-BE49-F238E27FC236}">
                    <a16:creationId xmlns:a16="http://schemas.microsoft.com/office/drawing/2014/main" id="{A2E6AFA9-21F1-43F4-9398-5F44BBB4FD06}"/>
                  </a:ext>
                </a:extLst>
              </xdr:cNvPr>
              <xdr:cNvSpPr txBox="1"/>
            </xdr:nvSpPr>
            <xdr:spPr>
              <a:xfrm>
                <a:off x="224369" y="3618970"/>
                <a:ext cx="1068916" cy="3492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bg1"/>
                    </a:solidFill>
                  </a:rPr>
                  <a:t>Quality Report</a:t>
                </a:r>
              </a:p>
            </xdr:txBody>
          </xdr:sp>
        </xdr:grpSp>
      </xdr:grpSp>
      <xdr:pic>
        <xdr:nvPicPr>
          <xdr:cNvPr id="59" name="Picture 58">
            <a:extLst>
              <a:ext uri="{FF2B5EF4-FFF2-40B4-BE49-F238E27FC236}">
                <a16:creationId xmlns:a16="http://schemas.microsoft.com/office/drawing/2014/main" id="{A08367D8-75A5-C2C7-D7FE-6915D86A9B0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86837" y="402169"/>
            <a:ext cx="520449" cy="529164"/>
          </a:xfrm>
          <a:prstGeom prst="rect">
            <a:avLst/>
          </a:prstGeom>
        </xdr:spPr>
      </xdr:pic>
      <xdr:grpSp>
        <xdr:nvGrpSpPr>
          <xdr:cNvPr id="65" name="Group 64">
            <a:extLst>
              <a:ext uri="{FF2B5EF4-FFF2-40B4-BE49-F238E27FC236}">
                <a16:creationId xmlns:a16="http://schemas.microsoft.com/office/drawing/2014/main" id="{09832479-7050-023C-07DD-2C76FCF796E1}"/>
              </a:ext>
            </a:extLst>
          </xdr:cNvPr>
          <xdr:cNvGrpSpPr/>
        </xdr:nvGrpSpPr>
        <xdr:grpSpPr>
          <a:xfrm>
            <a:off x="319332" y="4963579"/>
            <a:ext cx="857286" cy="405330"/>
            <a:chOff x="319332" y="4963579"/>
            <a:chExt cx="857286" cy="405330"/>
          </a:xfrm>
        </xdr:grpSpPr>
        <xdr:pic>
          <xdr:nvPicPr>
            <xdr:cNvPr id="61" name="Picture 60">
              <a:hlinkClick xmlns:r="http://schemas.openxmlformats.org/officeDocument/2006/relationships" r:id="rId12"/>
              <a:extLst>
                <a:ext uri="{FF2B5EF4-FFF2-40B4-BE49-F238E27FC236}">
                  <a16:creationId xmlns:a16="http://schemas.microsoft.com/office/drawing/2014/main" id="{85D59392-CCFB-56AE-7A6E-8BA0DC02E63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19332" y="4963579"/>
              <a:ext cx="396615" cy="405330"/>
            </a:xfrm>
            <a:prstGeom prst="rect">
              <a:avLst/>
            </a:prstGeom>
          </xdr:spPr>
        </xdr:pic>
        <xdr:pic>
          <xdr:nvPicPr>
            <xdr:cNvPr id="63" name="Picture 62">
              <a:hlinkClick xmlns:r="http://schemas.openxmlformats.org/officeDocument/2006/relationships" r:id="rId14"/>
              <a:extLst>
                <a:ext uri="{FF2B5EF4-FFF2-40B4-BE49-F238E27FC236}">
                  <a16:creationId xmlns:a16="http://schemas.microsoft.com/office/drawing/2014/main" id="{3D92EB60-1BEC-4F20-F249-114C2500910D}"/>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784785" y="4973071"/>
              <a:ext cx="391833" cy="386346"/>
            </a:xfrm>
            <a:prstGeom prst="rect">
              <a:avLst/>
            </a:prstGeom>
          </xdr:spPr>
        </xdr:pic>
      </xdr:grpSp>
    </xdr:grpSp>
    <xdr:clientData/>
  </xdr:twoCellAnchor>
  <xdr:twoCellAnchor>
    <xdr:from>
      <xdr:col>0</xdr:col>
      <xdr:colOff>89647</xdr:colOff>
      <xdr:row>41</xdr:row>
      <xdr:rowOff>22413</xdr:rowOff>
    </xdr:from>
    <xdr:to>
      <xdr:col>12</xdr:col>
      <xdr:colOff>67235</xdr:colOff>
      <xdr:row>46</xdr:row>
      <xdr:rowOff>0</xdr:rowOff>
    </xdr:to>
    <xdr:sp macro="" textlink="">
      <xdr:nvSpPr>
        <xdr:cNvPr id="72" name="TextBox 71">
          <a:extLst>
            <a:ext uri="{FF2B5EF4-FFF2-40B4-BE49-F238E27FC236}">
              <a16:creationId xmlns:a16="http://schemas.microsoft.com/office/drawing/2014/main" id="{BE6C92DE-4D96-7B39-D821-C18A80BF0EBB}"/>
            </a:ext>
          </a:extLst>
        </xdr:cNvPr>
        <xdr:cNvSpPr txBox="1"/>
      </xdr:nvSpPr>
      <xdr:spPr>
        <a:xfrm>
          <a:off x="89647" y="7832913"/>
          <a:ext cx="7239000" cy="930087"/>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Note: The filters (slicers) to the top right are coneected to all values and charts. Some charts</a:t>
          </a:r>
          <a:r>
            <a:rPr lang="en-US" sz="1200" baseline="0"/>
            <a:t> may show less than the minimum amount which is due to limited valid in such phase.</a:t>
          </a:r>
          <a:endParaRPr lang="en-US" sz="1200"/>
        </a:p>
      </xdr:txBody>
    </xdr:sp>
    <xdr:clientData/>
  </xdr:twoCellAnchor>
  <xdr:twoCellAnchor editAs="oneCell">
    <xdr:from>
      <xdr:col>0</xdr:col>
      <xdr:colOff>314237</xdr:colOff>
      <xdr:row>28</xdr:row>
      <xdr:rowOff>144847</xdr:rowOff>
    </xdr:from>
    <xdr:to>
      <xdr:col>1</xdr:col>
      <xdr:colOff>582708</xdr:colOff>
      <xdr:row>39</xdr:row>
      <xdr:rowOff>113954</xdr:rowOff>
    </xdr:to>
    <xdr:pic>
      <xdr:nvPicPr>
        <xdr:cNvPr id="74" name="Picture 73">
          <a:extLst>
            <a:ext uri="{FF2B5EF4-FFF2-40B4-BE49-F238E27FC236}">
              <a16:creationId xmlns:a16="http://schemas.microsoft.com/office/drawing/2014/main" id="{A757E812-AAB0-CBBF-6E21-48EA099C7E9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rot="16200000">
          <a:off x="-281272" y="6074356"/>
          <a:ext cx="2064607" cy="8735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xdr:colOff>
      <xdr:row>0</xdr:row>
      <xdr:rowOff>0</xdr:rowOff>
    </xdr:from>
    <xdr:to>
      <xdr:col>1</xdr:col>
      <xdr:colOff>33338</xdr:colOff>
      <xdr:row>2</xdr:row>
      <xdr:rowOff>0</xdr:rowOff>
    </xdr:to>
    <xdr:grpSp>
      <xdr:nvGrpSpPr>
        <xdr:cNvPr id="5" name="Group 4">
          <a:extLst>
            <a:ext uri="{FF2B5EF4-FFF2-40B4-BE49-F238E27FC236}">
              <a16:creationId xmlns:a16="http://schemas.microsoft.com/office/drawing/2014/main" id="{4171EB01-F662-1308-9993-6DB8F5806DE6}"/>
            </a:ext>
          </a:extLst>
        </xdr:cNvPr>
        <xdr:cNvGrpSpPr/>
      </xdr:nvGrpSpPr>
      <xdr:grpSpPr>
        <a:xfrm>
          <a:off x="4762" y="0"/>
          <a:ext cx="926647" cy="435429"/>
          <a:chOff x="23812" y="0"/>
          <a:chExt cx="923926" cy="428625"/>
        </a:xfrm>
      </xdr:grpSpPr>
      <xdr:sp macro="" textlink="">
        <xdr:nvSpPr>
          <xdr:cNvPr id="3" name="Rectangle 2">
            <a:extLst>
              <a:ext uri="{FF2B5EF4-FFF2-40B4-BE49-F238E27FC236}">
                <a16:creationId xmlns:a16="http://schemas.microsoft.com/office/drawing/2014/main" id="{AE34951A-0764-4A1C-9842-FEDA9D2411E8}"/>
              </a:ext>
            </a:extLst>
          </xdr:cNvPr>
          <xdr:cNvSpPr/>
        </xdr:nvSpPr>
        <xdr:spPr>
          <a:xfrm>
            <a:off x="38101" y="0"/>
            <a:ext cx="895349" cy="428625"/>
          </a:xfrm>
          <a:prstGeom prst="rect">
            <a:avLst/>
          </a:prstGeom>
          <a:solidFill>
            <a:srgbClr val="C8102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4" name="TextBox 3">
            <a:hlinkClick xmlns:r="http://schemas.openxmlformats.org/officeDocument/2006/relationships" r:id="rId1"/>
            <a:extLst>
              <a:ext uri="{FF2B5EF4-FFF2-40B4-BE49-F238E27FC236}">
                <a16:creationId xmlns:a16="http://schemas.microsoft.com/office/drawing/2014/main" id="{7C1196FB-276E-56BA-BB46-247799D2A900}"/>
              </a:ext>
            </a:extLst>
          </xdr:cNvPr>
          <xdr:cNvSpPr txBox="1"/>
        </xdr:nvSpPr>
        <xdr:spPr>
          <a:xfrm>
            <a:off x="23812" y="80962"/>
            <a:ext cx="923926" cy="266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Dashboard</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19050</xdr:colOff>
      <xdr:row>0</xdr:row>
      <xdr:rowOff>19050</xdr:rowOff>
    </xdr:from>
    <xdr:to>
      <xdr:col>18</xdr:col>
      <xdr:colOff>333376</xdr:colOff>
      <xdr:row>2</xdr:row>
      <xdr:rowOff>66675</xdr:rowOff>
    </xdr:to>
    <xdr:grpSp>
      <xdr:nvGrpSpPr>
        <xdr:cNvPr id="2" name="Group 1">
          <a:extLst>
            <a:ext uri="{FF2B5EF4-FFF2-40B4-BE49-F238E27FC236}">
              <a16:creationId xmlns:a16="http://schemas.microsoft.com/office/drawing/2014/main" id="{45A680F1-614A-43FC-9463-C90331916FDB}"/>
            </a:ext>
          </a:extLst>
        </xdr:cNvPr>
        <xdr:cNvGrpSpPr/>
      </xdr:nvGrpSpPr>
      <xdr:grpSpPr>
        <a:xfrm>
          <a:off x="10267950" y="19050"/>
          <a:ext cx="923926" cy="428625"/>
          <a:chOff x="23812" y="0"/>
          <a:chExt cx="923926" cy="428625"/>
        </a:xfrm>
      </xdr:grpSpPr>
      <xdr:sp macro="" textlink="">
        <xdr:nvSpPr>
          <xdr:cNvPr id="3" name="Rectangle 2">
            <a:extLst>
              <a:ext uri="{FF2B5EF4-FFF2-40B4-BE49-F238E27FC236}">
                <a16:creationId xmlns:a16="http://schemas.microsoft.com/office/drawing/2014/main" id="{BACDD397-547E-DE13-9B5E-5D8BED4404C0}"/>
              </a:ext>
            </a:extLst>
          </xdr:cNvPr>
          <xdr:cNvSpPr/>
        </xdr:nvSpPr>
        <xdr:spPr>
          <a:xfrm>
            <a:off x="38101" y="0"/>
            <a:ext cx="895349" cy="428625"/>
          </a:xfrm>
          <a:prstGeom prst="rect">
            <a:avLst/>
          </a:prstGeom>
          <a:solidFill>
            <a:srgbClr val="C8102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4" name="TextBox 3">
            <a:hlinkClick xmlns:r="http://schemas.openxmlformats.org/officeDocument/2006/relationships" r:id="rId1"/>
            <a:extLst>
              <a:ext uri="{FF2B5EF4-FFF2-40B4-BE49-F238E27FC236}">
                <a16:creationId xmlns:a16="http://schemas.microsoft.com/office/drawing/2014/main" id="{2054640F-1C78-D3D8-D701-C820D77D0CA7}"/>
              </a:ext>
            </a:extLst>
          </xdr:cNvPr>
          <xdr:cNvSpPr txBox="1"/>
        </xdr:nvSpPr>
        <xdr:spPr>
          <a:xfrm>
            <a:off x="23812" y="80962"/>
            <a:ext cx="923926" cy="266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Dashboard</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86.594038425923" createdVersion="8" refreshedVersion="8" minRefreshableVersion="3" recordCount="62" xr:uid="{DBE0EE1C-50F3-479C-AC3F-49E11A7A871A}">
  <cacheSource type="worksheet">
    <worksheetSource name="mcu_cleaned"/>
  </cacheSource>
  <cacheFields count="14">
    <cacheField name="movie_title" numFmtId="0">
      <sharedItems count="62">
        <s v="Iron Man"/>
        <s v="The Incredible Hulk"/>
        <s v="Iron Man 2"/>
        <s v="Thor"/>
        <s v="Captain America The First Avenger"/>
        <s v="The Avengers"/>
        <s v="Iron Man 3"/>
        <s v="Thor The Dark World"/>
        <s v="Captain America The Winter Soldier"/>
        <s v="Guardians of the Galaxy"/>
        <s v="Avengers Age of Ultron"/>
        <s v="Ant-Man"/>
        <s v="Captain America Civil War"/>
        <s v="Doctor Strange"/>
        <s v="Guardians of the Galaxy Vol. 2"/>
        <s v="Spider-Man Homecoming"/>
        <s v="Thor Ragnullrok"/>
        <s v="Black Panther"/>
        <s v="Avengers Infinity War"/>
        <s v="Ant-Man and the Wasp"/>
        <s v="Captain Marvel"/>
        <s v="Avengers Endgame"/>
        <s v="Spider-Man Far From Home"/>
        <s v="Black Widow"/>
        <s v="Shang-Chi and the Legend of the Ten Rings"/>
        <s v="Eternullls"/>
        <s v="Spider-Man No Way Home"/>
        <s v="Doctor Strange in the Multiverse of Madness"/>
        <s v="Thor Love and Thunder"/>
        <s v="Black Panther Wakanda Forever"/>
        <s v="Ant-Man and the Wasp Quantumania"/>
        <s v="Guardians of the Galaxy Vol. 3"/>
        <s v="The Marvels"/>
        <s v="Deadpool &amp; Wolverine"/>
        <s v="Captain America Brave New World"/>
        <s v="Thunderbolts"/>
        <s v="The Fantastic Four First Steps"/>
        <s v="Spider-Man Brand New Day"/>
        <s v="WandaVision"/>
        <s v="The Falcon and the Winter Soldier"/>
        <s v="Loki"/>
        <s v="What If..."/>
        <s v="Hawkeye"/>
        <s v="Moon Knight"/>
        <s v="Ms. Marvel"/>
        <s v="She-Hulk Attorney-at-Law"/>
        <s v="Secret Invasion"/>
        <s v="Loki Season 2"/>
        <s v="What If... Season 2"/>
        <s v="Echo"/>
        <s v="X-Men '97"/>
        <s v="Agatha All Along"/>
        <s v="Your Friendly Neighborhood Spider-Man"/>
        <s v="Daredevil Born Again"/>
        <s v="Ironheart"/>
        <s v="Eyes of Wakanda"/>
        <s v="Marvel Zombies"/>
        <s v="Wonder Man"/>
        <s v="Your Friendly Neighborhood Spider-Man Season 2"/>
        <s v="Daredevil Born Again Season 2"/>
        <s v="The Punisher One Last Kill"/>
        <s v="X-Men '97 Season 2"/>
      </sharedItems>
    </cacheField>
    <cacheField name="mcu_phase" numFmtId="0">
      <sharedItems count="6">
        <s v="Phase 1"/>
        <s v="Phase 2"/>
        <s v="Phase 3"/>
        <s v="Phase 4"/>
        <s v="Phase 5"/>
        <s v="Phase 6"/>
      </sharedItems>
    </cacheField>
    <cacheField name="release_date" numFmtId="14">
      <sharedItems containsSemiMixedTypes="0" containsNonDate="0" containsDate="1" containsString="0" minDate="2008-05-02T00:00:00" maxDate="2026-09-02T00:00:00"/>
    </cacheField>
    <cacheField name="tomato_meter" numFmtId="0">
      <sharedItems containsSemiMixedTypes="0" containsString="0" containsNumber="1" containsInteger="1" minValue="46" maxValue="99"/>
    </cacheField>
    <cacheField name="audience_score" numFmtId="0">
      <sharedItems containsSemiMixedTypes="0" containsString="0" containsNumber="1" containsInteger="1" minValue="32" maxValue="98"/>
    </cacheField>
    <cacheField name="movie_duration" numFmtId="0">
      <sharedItems containsMixedTypes="1" containsNumber="1" containsInteger="1" minValue="105" maxValue="181"/>
    </cacheField>
    <cacheField name="production_budget" numFmtId="0">
      <sharedItems containsString="0" containsBlank="1" containsNumber="1" containsInteger="1" minValue="130000000" maxValue="365000000"/>
    </cacheField>
    <cacheField name="opening_weekend" numFmtId="0">
      <sharedItems containsString="0" containsBlank="1" containsNumber="1" containsInteger="1" minValue="46110859" maxValue="360091572"/>
    </cacheField>
    <cacheField name="domestic_box_office" numFmtId="0">
      <sharedItems containsString="0" containsBlank="1" containsNumber="1" containsInteger="1" minValue="84500223" maxValue="858400177"/>
    </cacheField>
    <cacheField name="worldwide_box_office" numFmtId="0">
      <sharedItems containsString="0" containsBlank="1" containsNumber="1" containsInteger="1" minValue="206136825" maxValue="2799439100"/>
    </cacheField>
    <cacheField name="net_profit" numFmtId="0">
      <sharedItems containsString="0" containsBlank="1" containsNumber="1" containsInteger="1" minValue="-63863175" maxValue="2443439100"/>
    </cacheField>
    <cacheField name="roi" numFmtId="0">
      <sharedItems containsMixedTypes="1" containsNumber="1" minValue="-0.23653027777777777" maxValue="8.8867356133333342" count="39">
        <n v="3.1842589071428571"/>
        <n v="0.93144624727272729"/>
        <n v="2.1057819449999999"/>
        <n v="1.9955107866666666"/>
        <n v="1.6469269571428571"/>
        <n v="5.9036954000000001"/>
        <n v="5.0740562599999999"/>
        <n v="2.7917795058823529"/>
        <n v="3.2024794294117647"/>
        <n v="3.5491185117647057"/>
        <n v="2.8227862438356164"/>
        <n v="2.9947074230769233"/>
        <n v="3.6131851720000001"/>
        <n v="3.1078550060606061"/>
        <n v="3.3456112299999998"/>
        <n v="4.0295252799999997"/>
        <n v="3.7516767"/>
        <n v="5.7664122200000003"/>
        <n v="5.3151231969230768"/>
        <n v="2.8436675246913579"/>
        <n v="5.4681955714285717"/>
        <n v="6.8635929775280902"/>
        <n v="6.074549975"/>
        <n v="0.89875827500000005"/>
        <n v="1.8816219466666666"/>
        <n v="0.70366482627118643"/>
        <n v="8.6128018300000004"/>
        <n v="3.7788790200000002"/>
        <n v="2.0437123239999999"/>
        <n v="2.4368353439999999"/>
        <n v="1.3803559000000001"/>
        <n v="2.3822231079999998"/>
        <n v="-0.23653027777777777"/>
        <n v="5.6903682250000003"/>
        <n v="1.3061198722222223"/>
        <n v="1.1246495388888889"/>
        <n v="1.60929364"/>
        <n v="8.8867356133333342"/>
        <s v="null"/>
      </sharedItems>
    </cacheField>
    <cacheField name="movie_type" numFmtId="0">
      <sharedItems count="2">
        <s v="Movie"/>
        <s v="TV Show"/>
      </sharedItems>
    </cacheField>
    <cacheField name="Field1" numFmtId="0" formula="production_budget/worldwide_box_office" databaseField="0"/>
  </cacheFields>
  <extLst>
    <ext xmlns:x14="http://schemas.microsoft.com/office/spreadsheetml/2009/9/main" uri="{725AE2AE-9491-48be-B2B4-4EB974FC3084}">
      <x14:pivotCacheDefinition pivotCacheId="7220407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x v="0"/>
    <x v="0"/>
    <d v="2008-05-02T00:00:00"/>
    <n v="94"/>
    <n v="91"/>
    <n v="126"/>
    <n v="140000000"/>
    <n v="102118668"/>
    <n v="319034126"/>
    <n v="585796247"/>
    <n v="445796247"/>
    <x v="0"/>
    <x v="0"/>
  </r>
  <r>
    <x v="1"/>
    <x v="0"/>
    <d v="2008-06-13T00:00:00"/>
    <n v="67"/>
    <n v="70"/>
    <n v="112"/>
    <n v="137500000"/>
    <n v="55414050"/>
    <n v="134806913"/>
    <n v="265573859"/>
    <n v="128073859"/>
    <x v="1"/>
    <x v="0"/>
  </r>
  <r>
    <x v="2"/>
    <x v="0"/>
    <d v="2010-05-07T00:00:00"/>
    <n v="72"/>
    <n v="71"/>
    <n v="124"/>
    <n v="200000000"/>
    <n v="128122480"/>
    <n v="312433331"/>
    <n v="621156389"/>
    <n v="421156389"/>
    <x v="2"/>
    <x v="0"/>
  </r>
  <r>
    <x v="3"/>
    <x v="0"/>
    <d v="2011-05-06T00:00:00"/>
    <n v="77"/>
    <n v="76"/>
    <n v="114"/>
    <n v="150000000"/>
    <n v="65723338"/>
    <n v="181030624"/>
    <n v="449326618"/>
    <n v="299326618"/>
    <x v="3"/>
    <x v="0"/>
  </r>
  <r>
    <x v="4"/>
    <x v="0"/>
    <d v="2011-07-22T00:00:00"/>
    <n v="80"/>
    <n v="75"/>
    <n v="124"/>
    <n v="140000000"/>
    <n v="65058524"/>
    <n v="176654505"/>
    <n v="370569774"/>
    <n v="230569774"/>
    <x v="4"/>
    <x v="0"/>
  </r>
  <r>
    <x v="5"/>
    <x v="0"/>
    <d v="2012-05-04T00:00:00"/>
    <n v="91"/>
    <n v="91"/>
    <n v="143"/>
    <n v="220000000"/>
    <n v="207438708"/>
    <n v="623357910"/>
    <n v="1518812988"/>
    <n v="1298812988"/>
    <x v="5"/>
    <x v="0"/>
  </r>
  <r>
    <x v="6"/>
    <x v="1"/>
    <d v="2013-05-03T00:00:00"/>
    <n v="79"/>
    <n v="78"/>
    <n v="130"/>
    <n v="200000000"/>
    <n v="174144585"/>
    <n v="409013994"/>
    <n v="1214811252"/>
    <n v="1014811252"/>
    <x v="6"/>
    <x v="0"/>
  </r>
  <r>
    <x v="7"/>
    <x v="1"/>
    <d v="2013-11-08T00:00:00"/>
    <n v="66"/>
    <n v="75"/>
    <n v="112"/>
    <n v="170000000"/>
    <n v="85737841"/>
    <n v="206362140"/>
    <n v="644602516"/>
    <n v="474602516"/>
    <x v="7"/>
    <x v="0"/>
  </r>
  <r>
    <x v="8"/>
    <x v="1"/>
    <d v="2014-04-04T00:00:00"/>
    <n v="90"/>
    <n v="92"/>
    <n v="136"/>
    <n v="170000000"/>
    <n v="95023721"/>
    <n v="259766572"/>
    <n v="714421503"/>
    <n v="544421503"/>
    <x v="8"/>
    <x v="0"/>
  </r>
  <r>
    <x v="9"/>
    <x v="1"/>
    <d v="2014-08-01T00:00:00"/>
    <n v="91"/>
    <n v="92"/>
    <n v="121"/>
    <n v="170000000"/>
    <n v="94307658"/>
    <n v="333176600"/>
    <n v="773350147"/>
    <n v="603350147"/>
    <x v="9"/>
    <x v="0"/>
  </r>
  <r>
    <x v="10"/>
    <x v="1"/>
    <d v="2015-05-01T00:00:00"/>
    <n v="76"/>
    <n v="82"/>
    <n v="141"/>
    <n v="365000000"/>
    <n v="191271109"/>
    <n v="459005868"/>
    <n v="1395316979"/>
    <n v="1030316979"/>
    <x v="10"/>
    <x v="0"/>
  </r>
  <r>
    <x v="11"/>
    <x v="1"/>
    <d v="2015-07-17T00:00:00"/>
    <n v="83"/>
    <n v="85"/>
    <n v="117"/>
    <n v="130000000"/>
    <n v="57225526"/>
    <n v="180202163"/>
    <n v="519311965"/>
    <n v="389311965"/>
    <x v="11"/>
    <x v="0"/>
  </r>
  <r>
    <x v="12"/>
    <x v="2"/>
    <d v="2016-05-06T00:00:00"/>
    <n v="90"/>
    <n v="89"/>
    <n v="147"/>
    <n v="250000000"/>
    <n v="179139142"/>
    <n v="408084349"/>
    <n v="1153296293"/>
    <n v="903296293"/>
    <x v="12"/>
    <x v="0"/>
  </r>
  <r>
    <x v="13"/>
    <x v="2"/>
    <d v="2016-11-04T00:00:00"/>
    <n v="89"/>
    <n v="86"/>
    <n v="115"/>
    <n v="165000000"/>
    <n v="85158311"/>
    <n v="232641920"/>
    <n v="677796076"/>
    <n v="512796076"/>
    <x v="13"/>
    <x v="0"/>
  </r>
  <r>
    <x v="14"/>
    <x v="2"/>
    <d v="2017-05-05T00:00:00"/>
    <n v="85"/>
    <n v="87"/>
    <n v="136"/>
    <n v="200000000"/>
    <n v="146510104"/>
    <n v="389813101"/>
    <n v="869122246"/>
    <n v="669122246"/>
    <x v="14"/>
    <x v="0"/>
  </r>
  <r>
    <x v="15"/>
    <x v="2"/>
    <d v="2017-07-07T00:00:00"/>
    <n v="92"/>
    <n v="87"/>
    <n v="133"/>
    <n v="175000000"/>
    <n v="117027503"/>
    <n v="334201140"/>
    <n v="880166924"/>
    <n v="705166924"/>
    <x v="15"/>
    <x v="0"/>
  </r>
  <r>
    <x v="16"/>
    <x v="2"/>
    <d v="2017-11-03T00:00:00"/>
    <n v="93"/>
    <n v="87"/>
    <n v="130"/>
    <n v="180000000"/>
    <n v="122744989"/>
    <n v="315058289"/>
    <n v="855301806"/>
    <n v="675301806"/>
    <x v="16"/>
    <x v="0"/>
  </r>
  <r>
    <x v="17"/>
    <x v="2"/>
    <d v="2018-02-16T00:00:00"/>
    <n v="96"/>
    <n v="79"/>
    <n v="134"/>
    <n v="200000000"/>
    <n v="202003951"/>
    <n v="700426566"/>
    <n v="1353282444"/>
    <n v="1153282444"/>
    <x v="17"/>
    <x v="0"/>
  </r>
  <r>
    <x v="18"/>
    <x v="2"/>
    <d v="2018-04-27T00:00:00"/>
    <n v="85"/>
    <n v="91"/>
    <n v="149"/>
    <n v="325000000"/>
    <n v="257698183"/>
    <n v="678815482"/>
    <n v="2052415039"/>
    <n v="1727415039"/>
    <x v="18"/>
    <x v="0"/>
  </r>
  <r>
    <x v="19"/>
    <x v="2"/>
    <d v="2018-07-06T00:00:00"/>
    <n v="87"/>
    <n v="80"/>
    <n v="118"/>
    <n v="162000000"/>
    <n v="75812205"/>
    <n v="216648740"/>
    <n v="622674139"/>
    <n v="460674139"/>
    <x v="19"/>
    <x v="0"/>
  </r>
  <r>
    <x v="20"/>
    <x v="2"/>
    <d v="2019-03-08T00:00:00"/>
    <n v="79"/>
    <n v="45"/>
    <n v="123"/>
    <n v="175000000"/>
    <n v="153433423"/>
    <n v="426829839"/>
    <n v="1131934225"/>
    <n v="956934225"/>
    <x v="20"/>
    <x v="0"/>
  </r>
  <r>
    <x v="21"/>
    <x v="2"/>
    <d v="2019-04-26T00:00:00"/>
    <n v="94"/>
    <n v="90"/>
    <n v="181"/>
    <n v="356000000"/>
    <n v="357115007"/>
    <n v="858373000"/>
    <n v="2799439100"/>
    <n v="2443439100"/>
    <x v="21"/>
    <x v="0"/>
  </r>
  <r>
    <x v="22"/>
    <x v="2"/>
    <d v="2019-07-02T00:00:00"/>
    <n v="91"/>
    <n v="95"/>
    <n v="129"/>
    <n v="160000000"/>
    <n v="92579212"/>
    <n v="390532085"/>
    <n v="1131927996"/>
    <n v="971927996"/>
    <x v="22"/>
    <x v="0"/>
  </r>
  <r>
    <x v="23"/>
    <x v="3"/>
    <d v="2021-07-09T00:00:00"/>
    <n v="79"/>
    <n v="91"/>
    <n v="134"/>
    <n v="200000000"/>
    <n v="80366312"/>
    <n v="183651655"/>
    <n v="379751655"/>
    <n v="179751655"/>
    <x v="23"/>
    <x v="0"/>
  </r>
  <r>
    <x v="24"/>
    <x v="3"/>
    <d v="2021-09-03T00:00:00"/>
    <n v="92"/>
    <n v="98"/>
    <n v="132"/>
    <n v="150000000"/>
    <n v="75388688"/>
    <n v="224543292"/>
    <n v="432243292"/>
    <n v="282243292"/>
    <x v="24"/>
    <x v="0"/>
  </r>
  <r>
    <x v="25"/>
    <x v="3"/>
    <d v="2021-11-05T00:00:00"/>
    <n v="47"/>
    <n v="77"/>
    <n v="156"/>
    <n v="236000000"/>
    <n v="71297219"/>
    <n v="164870234"/>
    <n v="402064899"/>
    <n v="166064899"/>
    <x v="25"/>
    <x v="0"/>
  </r>
  <r>
    <x v="26"/>
    <x v="3"/>
    <d v="2021-12-17T00:00:00"/>
    <n v="93"/>
    <n v="97"/>
    <n v="148"/>
    <n v="200000000"/>
    <n v="260138569"/>
    <n v="804793477"/>
    <n v="1922560366"/>
    <n v="1722560366"/>
    <x v="26"/>
    <x v="0"/>
  </r>
  <r>
    <x v="27"/>
    <x v="3"/>
    <d v="2022-05-06T00:00:00"/>
    <n v="73"/>
    <n v="85"/>
    <n v="126"/>
    <n v="200000000"/>
    <n v="187420998"/>
    <n v="411331607"/>
    <n v="955775804"/>
    <n v="755775804"/>
    <x v="27"/>
    <x v="0"/>
  </r>
  <r>
    <x v="28"/>
    <x v="3"/>
    <d v="2022-07-08T00:00:00"/>
    <n v="63"/>
    <n v="76"/>
    <n v="118"/>
    <n v="250000000"/>
    <n v="144165107"/>
    <n v="343256830"/>
    <n v="760928081"/>
    <n v="510928081"/>
    <x v="28"/>
    <x v="0"/>
  </r>
  <r>
    <x v="29"/>
    <x v="3"/>
    <d v="2022-11-11T00:00:00"/>
    <n v="84"/>
    <n v="95"/>
    <n v="161"/>
    <n v="250000000"/>
    <n v="181339761"/>
    <n v="453829060"/>
    <n v="859208836"/>
    <n v="609208836"/>
    <x v="29"/>
    <x v="0"/>
  </r>
  <r>
    <x v="30"/>
    <x v="4"/>
    <d v="2023-02-17T00:00:00"/>
    <n v="46"/>
    <n v="82"/>
    <n v="125"/>
    <n v="200000000"/>
    <n v="106109650"/>
    <n v="214504909"/>
    <n v="476071180"/>
    <n v="276071180"/>
    <x v="30"/>
    <x v="0"/>
  </r>
  <r>
    <x v="31"/>
    <x v="4"/>
    <d v="2023-05-05T00:00:00"/>
    <n v="82"/>
    <n v="94"/>
    <n v="150"/>
    <n v="250000000"/>
    <n v="118414021"/>
    <n v="358995815"/>
    <n v="845555777"/>
    <n v="595555777"/>
    <x v="31"/>
    <x v="0"/>
  </r>
  <r>
    <x v="32"/>
    <x v="4"/>
    <d v="2023-11-10T00:00:00"/>
    <n v="62"/>
    <n v="80"/>
    <n v="105"/>
    <n v="270000000"/>
    <n v="46110859"/>
    <n v="84500223"/>
    <n v="206136825"/>
    <n v="-63863175"/>
    <x v="32"/>
    <x v="0"/>
  </r>
  <r>
    <x v="33"/>
    <x v="4"/>
    <d v="2024-07-26T00:00:00"/>
    <n v="77"/>
    <n v="94"/>
    <n v="128"/>
    <n v="200000000"/>
    <n v="211435291"/>
    <n v="636745858"/>
    <n v="1338073645"/>
    <n v="1138073645"/>
    <x v="33"/>
    <x v="0"/>
  </r>
  <r>
    <x v="34"/>
    <x v="4"/>
    <d v="2025-02-14T00:00:00"/>
    <n v="48"/>
    <n v="78"/>
    <n v="118"/>
    <n v="180000000"/>
    <n v="88842603"/>
    <n v="200500001"/>
    <n v="415101577"/>
    <n v="235101577"/>
    <x v="34"/>
    <x v="0"/>
  </r>
  <r>
    <x v="35"/>
    <x v="4"/>
    <d v="2025-05-02T00:00:00"/>
    <n v="88"/>
    <n v="91"/>
    <n v="127"/>
    <n v="180000000"/>
    <n v="74300608"/>
    <n v="190274328"/>
    <n v="382436917"/>
    <n v="202436917"/>
    <x v="35"/>
    <x v="0"/>
  </r>
  <r>
    <x v="36"/>
    <x v="5"/>
    <d v="2025-07-25T00:00:00"/>
    <n v="86"/>
    <n v="90"/>
    <n v="114"/>
    <n v="200000000"/>
    <n v="117644828"/>
    <n v="274286610"/>
    <n v="521858728"/>
    <n v="321858728"/>
    <x v="36"/>
    <x v="0"/>
  </r>
  <r>
    <x v="37"/>
    <x v="5"/>
    <d v="2026-07-31T00:00:00"/>
    <n v="89"/>
    <n v="93"/>
    <n v="136"/>
    <n v="225000000"/>
    <n v="360091572"/>
    <n v="858400177"/>
    <n v="2224515513"/>
    <n v="1999515513"/>
    <x v="37"/>
    <x v="0"/>
  </r>
  <r>
    <x v="38"/>
    <x v="3"/>
    <d v="2021-01-15T00:00:00"/>
    <n v="91"/>
    <n v="88"/>
    <s v="null"/>
    <m/>
    <m/>
    <m/>
    <m/>
    <m/>
    <x v="38"/>
    <x v="1"/>
  </r>
  <r>
    <x v="39"/>
    <x v="3"/>
    <d v="2021-03-19T00:00:00"/>
    <n v="86"/>
    <n v="81"/>
    <s v="null"/>
    <m/>
    <m/>
    <m/>
    <m/>
    <m/>
    <x v="38"/>
    <x v="1"/>
  </r>
  <r>
    <x v="40"/>
    <x v="3"/>
    <d v="2021-06-09T00:00:00"/>
    <n v="92"/>
    <n v="90"/>
    <s v="null"/>
    <m/>
    <m/>
    <m/>
    <m/>
    <m/>
    <x v="38"/>
    <x v="1"/>
  </r>
  <r>
    <x v="41"/>
    <x v="3"/>
    <d v="2021-08-11T00:00:00"/>
    <n v="94"/>
    <n v="93"/>
    <s v="null"/>
    <m/>
    <m/>
    <m/>
    <m/>
    <m/>
    <x v="38"/>
    <x v="1"/>
  </r>
  <r>
    <x v="42"/>
    <x v="3"/>
    <d v="2021-11-24T00:00:00"/>
    <n v="92"/>
    <n v="88"/>
    <s v="null"/>
    <m/>
    <m/>
    <m/>
    <m/>
    <m/>
    <x v="38"/>
    <x v="1"/>
  </r>
  <r>
    <x v="43"/>
    <x v="3"/>
    <d v="2022-03-30T00:00:00"/>
    <n v="86"/>
    <n v="89"/>
    <s v="null"/>
    <m/>
    <m/>
    <m/>
    <m/>
    <m/>
    <x v="38"/>
    <x v="1"/>
  </r>
  <r>
    <x v="44"/>
    <x v="3"/>
    <d v="2022-06-08T00:00:00"/>
    <n v="98"/>
    <n v="80"/>
    <s v="null"/>
    <m/>
    <m/>
    <m/>
    <m/>
    <m/>
    <x v="38"/>
    <x v="1"/>
  </r>
  <r>
    <x v="45"/>
    <x v="3"/>
    <d v="2022-08-18T00:00:00"/>
    <n v="77"/>
    <n v="32"/>
    <s v="null"/>
    <m/>
    <m/>
    <m/>
    <m/>
    <m/>
    <x v="38"/>
    <x v="1"/>
  </r>
  <r>
    <x v="46"/>
    <x v="4"/>
    <d v="2023-06-21T00:00:00"/>
    <n v="53"/>
    <n v="44"/>
    <s v="null"/>
    <m/>
    <m/>
    <m/>
    <m/>
    <m/>
    <x v="38"/>
    <x v="1"/>
  </r>
  <r>
    <x v="47"/>
    <x v="4"/>
    <d v="2023-10-05T00:00:00"/>
    <n v="82"/>
    <n v="86"/>
    <s v="null"/>
    <m/>
    <m/>
    <m/>
    <m/>
    <m/>
    <x v="38"/>
    <x v="1"/>
  </r>
  <r>
    <x v="48"/>
    <x v="4"/>
    <d v="2023-12-22T00:00:00"/>
    <n v="87"/>
    <n v="76"/>
    <s v="null"/>
    <m/>
    <m/>
    <m/>
    <m/>
    <m/>
    <x v="38"/>
    <x v="1"/>
  </r>
  <r>
    <x v="49"/>
    <x v="4"/>
    <d v="2024-01-09T00:00:00"/>
    <n v="70"/>
    <n v="61"/>
    <s v="null"/>
    <m/>
    <m/>
    <m/>
    <m/>
    <m/>
    <x v="38"/>
    <x v="1"/>
  </r>
  <r>
    <x v="50"/>
    <x v="4"/>
    <d v="2024-03-20T00:00:00"/>
    <n v="99"/>
    <n v="91"/>
    <s v="null"/>
    <m/>
    <m/>
    <m/>
    <m/>
    <m/>
    <x v="38"/>
    <x v="1"/>
  </r>
  <r>
    <x v="51"/>
    <x v="4"/>
    <d v="2024-09-18T00:00:00"/>
    <n v="83"/>
    <n v="81"/>
    <s v="null"/>
    <m/>
    <m/>
    <m/>
    <m/>
    <m/>
    <x v="38"/>
    <x v="1"/>
  </r>
  <r>
    <x v="52"/>
    <x v="4"/>
    <d v="2025-01-29T00:00:00"/>
    <n v="97"/>
    <n v="62"/>
    <s v="null"/>
    <m/>
    <m/>
    <m/>
    <m/>
    <m/>
    <x v="38"/>
    <x v="1"/>
  </r>
  <r>
    <x v="53"/>
    <x v="4"/>
    <d v="2025-03-04T00:00:00"/>
    <n v="86"/>
    <n v="88"/>
    <s v="null"/>
    <m/>
    <m/>
    <m/>
    <m/>
    <m/>
    <x v="38"/>
    <x v="1"/>
  </r>
  <r>
    <x v="54"/>
    <x v="4"/>
    <d v="2025-06-24T00:00:00"/>
    <n v="76"/>
    <n v="46"/>
    <s v="null"/>
    <m/>
    <m/>
    <m/>
    <m/>
    <m/>
    <x v="38"/>
    <x v="1"/>
  </r>
  <r>
    <x v="55"/>
    <x v="4"/>
    <d v="2025-08-06T00:00:00"/>
    <n v="92"/>
    <n v="51"/>
    <s v="null"/>
    <m/>
    <m/>
    <m/>
    <m/>
    <m/>
    <x v="38"/>
    <x v="1"/>
  </r>
  <r>
    <x v="56"/>
    <x v="4"/>
    <d v="2025-09-24T00:00:00"/>
    <n v="67"/>
    <n v="75"/>
    <s v="null"/>
    <m/>
    <m/>
    <m/>
    <m/>
    <m/>
    <x v="38"/>
    <x v="1"/>
  </r>
  <r>
    <x v="57"/>
    <x v="5"/>
    <d v="2026-01-27T00:00:00"/>
    <n v="91"/>
    <n v="82"/>
    <s v="null"/>
    <m/>
    <m/>
    <m/>
    <m/>
    <m/>
    <x v="38"/>
    <x v="1"/>
  </r>
  <r>
    <x v="58"/>
    <x v="5"/>
    <d v="2026-09-01T00:00:00"/>
    <n v="95"/>
    <n v="65"/>
    <s v="null"/>
    <m/>
    <m/>
    <m/>
    <m/>
    <m/>
    <x v="38"/>
    <x v="1"/>
  </r>
  <r>
    <x v="59"/>
    <x v="5"/>
    <d v="2026-03-24T00:00:00"/>
    <n v="90"/>
    <n v="89"/>
    <s v="null"/>
    <m/>
    <m/>
    <m/>
    <m/>
    <m/>
    <x v="38"/>
    <x v="1"/>
  </r>
  <r>
    <x v="60"/>
    <x v="5"/>
    <d v="2026-05-12T00:00:00"/>
    <n v="87"/>
    <n v="90"/>
    <s v="null"/>
    <m/>
    <m/>
    <m/>
    <m/>
    <m/>
    <x v="38"/>
    <x v="1"/>
  </r>
  <r>
    <x v="61"/>
    <x v="5"/>
    <d v="2026-08-01T00:00:00"/>
    <n v="96"/>
    <n v="92"/>
    <s v="null"/>
    <m/>
    <m/>
    <m/>
    <m/>
    <m/>
    <x v="3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9ADB70-F0D7-44F2-9B98-5DE6F8FB2BB7}" name="PivotTable20" cacheId="0" applyNumberFormats="0" applyBorderFormats="0" applyFontFormats="0" applyPatternFormats="0" applyAlignmentFormats="0" applyWidthHeightFormats="1" dataCaption="Values" showError="1" updatedVersion="8" minRefreshableVersion="3" useAutoFormatting="1" itemPrintTitles="1" createdVersion="8" indent="0" outline="1" outlineData="1" multipleFieldFilters="0">
  <location ref="A24:E87" firstHeaderRow="0" firstDataRow="1" firstDataCol="1" rowPageCount="1" colPageCount="1"/>
  <pivotFields count="14">
    <pivotField axis="axisRow" showAll="0">
      <items count="63">
        <item x="51"/>
        <item x="11"/>
        <item x="19"/>
        <item x="30"/>
        <item x="10"/>
        <item x="21"/>
        <item x="18"/>
        <item x="17"/>
        <item x="29"/>
        <item x="23"/>
        <item x="34"/>
        <item x="12"/>
        <item x="4"/>
        <item x="8"/>
        <item x="20"/>
        <item x="53"/>
        <item x="59"/>
        <item x="33"/>
        <item x="13"/>
        <item x="27"/>
        <item x="49"/>
        <item x="25"/>
        <item x="55"/>
        <item x="9"/>
        <item x="14"/>
        <item x="31"/>
        <item x="42"/>
        <item x="0"/>
        <item x="2"/>
        <item x="6"/>
        <item x="54"/>
        <item x="40"/>
        <item x="47"/>
        <item x="56"/>
        <item x="43"/>
        <item x="44"/>
        <item x="46"/>
        <item x="24"/>
        <item x="45"/>
        <item x="37"/>
        <item x="22"/>
        <item x="15"/>
        <item x="26"/>
        <item x="5"/>
        <item x="39"/>
        <item x="36"/>
        <item x="1"/>
        <item x="32"/>
        <item x="60"/>
        <item x="3"/>
        <item x="28"/>
        <item x="16"/>
        <item x="7"/>
        <item x="35"/>
        <item x="38"/>
        <item x="41"/>
        <item x="48"/>
        <item x="57"/>
        <item x="50"/>
        <item x="61"/>
        <item x="52"/>
        <item x="58"/>
        <item t="default"/>
      </items>
    </pivotField>
    <pivotField showAll="0">
      <items count="7">
        <item x="0"/>
        <item x="1"/>
        <item x="2"/>
        <item x="3"/>
        <item x="4"/>
        <item x="5"/>
        <item t="default"/>
      </items>
    </pivotField>
    <pivotField numFmtId="14" showAll="0"/>
    <pivotField showAll="0"/>
    <pivotField showAll="0"/>
    <pivotField dataField="1" showAll="0"/>
    <pivotField showAll="0"/>
    <pivotField showAll="0"/>
    <pivotField showAll="0"/>
    <pivotField dataField="1" showAll="0"/>
    <pivotField dataField="1" showAll="0"/>
    <pivotField dataField="1" showAll="0"/>
    <pivotField axis="axisPage" showAll="0">
      <items count="3">
        <item x="0"/>
        <item x="1"/>
        <item t="default"/>
      </items>
    </pivotField>
    <pivotField dragToRow="0" dragToCol="0" dragToPage="0" showAll="0" defaultSubtotal="0"/>
  </pivotFields>
  <rowFields count="1">
    <field x="0"/>
  </rowFields>
  <row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t="grand">
      <x/>
    </i>
  </rowItems>
  <colFields count="1">
    <field x="-2"/>
  </colFields>
  <colItems count="4">
    <i>
      <x/>
    </i>
    <i i="1">
      <x v="1"/>
    </i>
    <i i="2">
      <x v="2"/>
    </i>
    <i i="3">
      <x v="3"/>
    </i>
  </colItems>
  <pageFields count="1">
    <pageField fld="12" hier="-1"/>
  </pageFields>
  <dataFields count="4">
    <dataField name="Sum of worldwide_box_office" fld="9" baseField="0" baseItem="3" numFmtId="164"/>
    <dataField name="Sum of net_profit" fld="10" baseField="0" baseItem="2" numFmtId="164"/>
    <dataField name="Average of roi" fld="11" subtotal="average" baseField="0" baseItem="1" numFmtId="166"/>
    <dataField name="Average of movie_duration" fld="5" subtotal="average" baseField="0" baseItem="0"/>
  </dataFields>
  <formats count="2">
    <format dxfId="1">
      <pivotArea field="0" grandRow="1" outline="0" collapsedLevelsAreSubtotals="1" axis="axisRow" fieldPosition="0">
        <references count="1">
          <reference field="4294967294" count="1" selected="0">
            <x v="0"/>
          </reference>
        </references>
      </pivotArea>
    </format>
    <format dxfId="2">
      <pivotArea field="0" grandRow="1" outline="0" collapsedLevelsAreSubtotals="1" axis="axisRow" fieldPosition="0">
        <references count="1">
          <reference field="4294967294" count="1" selected="0">
            <x v="1"/>
          </reference>
        </references>
      </pivotArea>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310FA5-388F-4BD2-960F-25B6275F175F}"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12:L19" firstHeaderRow="1" firstDataRow="1" firstDataCol="1"/>
  <pivotFields count="14">
    <pivotField axis="axisRow" showAll="0" measureFilter="1">
      <items count="63">
        <item x="51"/>
        <item x="11"/>
        <item x="19"/>
        <item x="30"/>
        <item x="10"/>
        <item x="21"/>
        <item x="18"/>
        <item x="17"/>
        <item x="29"/>
        <item x="23"/>
        <item x="34"/>
        <item x="12"/>
        <item x="4"/>
        <item x="8"/>
        <item x="20"/>
        <item x="53"/>
        <item x="59"/>
        <item x="33"/>
        <item x="13"/>
        <item x="27"/>
        <item x="49"/>
        <item x="25"/>
        <item x="55"/>
        <item x="9"/>
        <item x="14"/>
        <item x="31"/>
        <item x="42"/>
        <item x="0"/>
        <item x="2"/>
        <item x="6"/>
        <item x="54"/>
        <item x="40"/>
        <item x="47"/>
        <item x="56"/>
        <item x="43"/>
        <item x="44"/>
        <item x="46"/>
        <item x="24"/>
        <item x="45"/>
        <item x="37"/>
        <item x="22"/>
        <item x="15"/>
        <item x="26"/>
        <item x="5"/>
        <item x="39"/>
        <item x="36"/>
        <item x="1"/>
        <item x="32"/>
        <item x="60"/>
        <item x="3"/>
        <item x="28"/>
        <item x="16"/>
        <item x="7"/>
        <item x="35"/>
        <item x="38"/>
        <item x="41"/>
        <item x="48"/>
        <item x="57"/>
        <item x="50"/>
        <item x="61"/>
        <item x="52"/>
        <item x="58"/>
        <item t="default"/>
      </items>
    </pivotField>
    <pivotField showAll="0">
      <items count="7">
        <item x="0"/>
        <item x="1"/>
        <item x="2"/>
        <item x="3"/>
        <item x="4"/>
        <item x="5"/>
        <item t="default"/>
      </items>
    </pivotField>
    <pivotField numFmtId="14" showAll="0"/>
    <pivotField showAll="0"/>
    <pivotField dataField="1" showAll="0"/>
    <pivotField showAll="0"/>
    <pivotField showAll="0"/>
    <pivotField showAll="0"/>
    <pivotField showAll="0"/>
    <pivotField showAll="0"/>
    <pivotField showAll="0"/>
    <pivotField showAll="0"/>
    <pivotField showAll="0">
      <items count="3">
        <item x="0"/>
        <item x="1"/>
        <item t="default"/>
      </items>
    </pivotField>
    <pivotField dragToRow="0" dragToCol="0" dragToPage="0" showAll="0" defaultSubtotal="0"/>
  </pivotFields>
  <rowFields count="1">
    <field x="0"/>
  </rowFields>
  <rowItems count="7">
    <i>
      <x v="8"/>
    </i>
    <i>
      <x v="17"/>
    </i>
    <i>
      <x v="25"/>
    </i>
    <i>
      <x v="37"/>
    </i>
    <i>
      <x v="40"/>
    </i>
    <i>
      <x v="42"/>
    </i>
    <i t="grand">
      <x/>
    </i>
  </rowItems>
  <colItems count="1">
    <i/>
  </colItems>
  <dataFields count="1">
    <dataField name="Sum of audience_score" fld="4"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31C590-DD8B-4D6D-ACD5-7C48C1CF9F38}"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2:H18" firstHeaderRow="1" firstDataRow="1" firstDataCol="1"/>
  <pivotFields count="14">
    <pivotField axis="axisRow" showAll="0" measureFilter="1">
      <items count="63">
        <item x="51"/>
        <item x="11"/>
        <item x="19"/>
        <item x="30"/>
        <item x="10"/>
        <item x="21"/>
        <item x="18"/>
        <item x="17"/>
        <item x="29"/>
        <item x="23"/>
        <item x="34"/>
        <item x="12"/>
        <item x="4"/>
        <item x="8"/>
        <item x="20"/>
        <item x="53"/>
        <item x="59"/>
        <item x="33"/>
        <item x="13"/>
        <item x="27"/>
        <item x="49"/>
        <item x="25"/>
        <item x="55"/>
        <item x="9"/>
        <item x="14"/>
        <item x="31"/>
        <item x="42"/>
        <item x="0"/>
        <item x="2"/>
        <item x="6"/>
        <item x="54"/>
        <item x="40"/>
        <item x="47"/>
        <item x="56"/>
        <item x="43"/>
        <item x="44"/>
        <item x="46"/>
        <item x="24"/>
        <item x="45"/>
        <item x="37"/>
        <item x="22"/>
        <item x="15"/>
        <item x="26"/>
        <item x="5"/>
        <item x="39"/>
        <item x="36"/>
        <item x="1"/>
        <item x="32"/>
        <item x="60"/>
        <item x="3"/>
        <item x="28"/>
        <item x="16"/>
        <item x="7"/>
        <item x="35"/>
        <item x="38"/>
        <item x="41"/>
        <item x="48"/>
        <item x="57"/>
        <item x="50"/>
        <item x="61"/>
        <item x="52"/>
        <item x="58"/>
        <item t="default"/>
      </items>
    </pivotField>
    <pivotField showAll="0">
      <items count="7">
        <item x="0"/>
        <item x="1"/>
        <item x="2"/>
        <item x="3"/>
        <item x="4"/>
        <item x="5"/>
        <item t="default"/>
      </items>
    </pivotField>
    <pivotField numFmtId="14" showAll="0"/>
    <pivotField dataField="1" showAll="0"/>
    <pivotField showAll="0"/>
    <pivotField showAll="0"/>
    <pivotField showAll="0"/>
    <pivotField showAll="0"/>
    <pivotField showAll="0"/>
    <pivotField showAll="0"/>
    <pivotField showAll="0"/>
    <pivotField showAll="0"/>
    <pivotField showAll="0">
      <items count="3">
        <item x="0"/>
        <item x="1"/>
        <item t="default"/>
      </items>
    </pivotField>
    <pivotField dragToRow="0" dragToCol="0" dragToPage="0" showAll="0" defaultSubtotal="0"/>
  </pivotFields>
  <rowFields count="1">
    <field x="0"/>
  </rowFields>
  <rowItems count="6">
    <i>
      <x v="7"/>
    </i>
    <i>
      <x v="35"/>
    </i>
    <i>
      <x v="58"/>
    </i>
    <i>
      <x v="59"/>
    </i>
    <i>
      <x v="60"/>
    </i>
    <i t="grand">
      <x/>
    </i>
  </rowItems>
  <colItems count="1">
    <i/>
  </colItems>
  <dataFields count="1">
    <dataField name="Sum of tomato_meter" fld="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1FB586-30CD-4018-BA8F-81A2873E898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3:L9" firstHeaderRow="1" firstDataRow="1" firstDataCol="1"/>
  <pivotFields count="14">
    <pivotField axis="axisRow" showAll="0" measureFilter="1">
      <items count="63">
        <item x="51"/>
        <item x="11"/>
        <item x="19"/>
        <item x="30"/>
        <item x="10"/>
        <item x="21"/>
        <item x="18"/>
        <item x="17"/>
        <item x="29"/>
        <item x="23"/>
        <item x="34"/>
        <item x="12"/>
        <item x="4"/>
        <item x="8"/>
        <item x="20"/>
        <item x="53"/>
        <item x="59"/>
        <item x="33"/>
        <item x="13"/>
        <item x="27"/>
        <item x="49"/>
        <item x="25"/>
        <item x="55"/>
        <item x="9"/>
        <item x="14"/>
        <item x="31"/>
        <item x="42"/>
        <item x="0"/>
        <item x="2"/>
        <item x="6"/>
        <item x="54"/>
        <item x="40"/>
        <item x="47"/>
        <item x="56"/>
        <item x="43"/>
        <item x="44"/>
        <item x="46"/>
        <item x="24"/>
        <item x="45"/>
        <item x="37"/>
        <item x="22"/>
        <item x="15"/>
        <item x="26"/>
        <item x="5"/>
        <item x="39"/>
        <item x="36"/>
        <item x="1"/>
        <item x="32"/>
        <item x="60"/>
        <item x="3"/>
        <item x="28"/>
        <item x="16"/>
        <item x="7"/>
        <item x="35"/>
        <item x="38"/>
        <item x="41"/>
        <item x="48"/>
        <item x="57"/>
        <item x="50"/>
        <item x="61"/>
        <item x="52"/>
        <item x="58"/>
        <item t="default"/>
      </items>
    </pivotField>
    <pivotField showAll="0">
      <items count="7">
        <item x="0"/>
        <item x="1"/>
        <item x="2"/>
        <item x="3"/>
        <item x="4"/>
        <item x="5"/>
        <item t="default"/>
      </items>
    </pivotField>
    <pivotField numFmtId="14" showAll="0"/>
    <pivotField showAll="0"/>
    <pivotField showAll="0"/>
    <pivotField showAll="0"/>
    <pivotField showAll="0"/>
    <pivotField showAll="0"/>
    <pivotField showAll="0"/>
    <pivotField showAll="0"/>
    <pivotField showAll="0"/>
    <pivotField dataField="1" showAll="0"/>
    <pivotField showAll="0">
      <items count="3">
        <item x="0"/>
        <item x="1"/>
        <item t="default"/>
      </items>
    </pivotField>
    <pivotField dragToRow="0" dragToCol="0" dragToPage="0" showAll="0" defaultSubtotal="0"/>
  </pivotFields>
  <rowFields count="1">
    <field x="0"/>
  </rowFields>
  <rowItems count="6">
    <i>
      <x v="5"/>
    </i>
    <i>
      <x v="39"/>
    </i>
    <i>
      <x v="40"/>
    </i>
    <i>
      <x v="42"/>
    </i>
    <i>
      <x v="43"/>
    </i>
    <i t="grand">
      <x/>
    </i>
  </rowItems>
  <colItems count="1">
    <i/>
  </colItems>
  <dataFields count="1">
    <dataField name="Sum of roi" fld="11" baseField="0" baseItem="0" numFmtId="166"/>
  </dataFields>
  <chartFormats count="1">
    <chartFormat chart="4"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135469-593B-4340-963D-FD84E282D0A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H9" firstHeaderRow="1" firstDataRow="1" firstDataCol="1"/>
  <pivotFields count="14">
    <pivotField axis="axisRow" showAll="0" measureFilter="1">
      <items count="63">
        <item x="51"/>
        <item x="11"/>
        <item x="19"/>
        <item x="30"/>
        <item x="10"/>
        <item x="21"/>
        <item x="18"/>
        <item x="17"/>
        <item x="29"/>
        <item x="23"/>
        <item x="34"/>
        <item x="12"/>
        <item x="4"/>
        <item x="8"/>
        <item x="20"/>
        <item x="53"/>
        <item x="59"/>
        <item x="33"/>
        <item x="13"/>
        <item x="27"/>
        <item x="49"/>
        <item x="25"/>
        <item x="55"/>
        <item x="9"/>
        <item x="14"/>
        <item x="31"/>
        <item x="42"/>
        <item x="0"/>
        <item x="2"/>
        <item x="6"/>
        <item x="54"/>
        <item x="40"/>
        <item x="47"/>
        <item x="56"/>
        <item x="43"/>
        <item x="44"/>
        <item x="46"/>
        <item x="24"/>
        <item x="45"/>
        <item x="37"/>
        <item x="22"/>
        <item x="15"/>
        <item x="26"/>
        <item x="5"/>
        <item x="39"/>
        <item x="36"/>
        <item x="1"/>
        <item x="32"/>
        <item x="60"/>
        <item x="3"/>
        <item x="28"/>
        <item x="16"/>
        <item x="7"/>
        <item x="35"/>
        <item x="38"/>
        <item x="41"/>
        <item x="48"/>
        <item x="57"/>
        <item x="50"/>
        <item x="61"/>
        <item x="52"/>
        <item x="58"/>
        <item t="default"/>
      </items>
    </pivotField>
    <pivotField showAll="0">
      <items count="7">
        <item x="0"/>
        <item x="1"/>
        <item x="2"/>
        <item x="3"/>
        <item x="4"/>
        <item x="5"/>
        <item t="default"/>
      </items>
    </pivotField>
    <pivotField numFmtId="14"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dragToRow="0" dragToCol="0" dragToPage="0" showAll="0" defaultSubtotal="0"/>
  </pivotFields>
  <rowFields count="1">
    <field x="0"/>
  </rowFields>
  <rowItems count="6">
    <i>
      <x v="5"/>
    </i>
    <i>
      <x v="6"/>
    </i>
    <i>
      <x v="39"/>
    </i>
    <i>
      <x v="42"/>
    </i>
    <i>
      <x v="43"/>
    </i>
    <i t="grand">
      <x/>
    </i>
  </rowItems>
  <colItems count="1">
    <i/>
  </colItems>
  <dataFields count="1">
    <dataField name="Sum of net_profit" fld="10" baseField="0" baseItem="5" numFmtId="164"/>
  </dataFields>
  <chartFormats count="1">
    <chartFormat chart="12" format="4"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D3DD7B-0E40-400F-B908-B52CB242F9F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8:C15" firstHeaderRow="0" firstDataRow="1" firstDataCol="1"/>
  <pivotFields count="14">
    <pivotField showAll="0"/>
    <pivotField axis="axisRow" showAll="0">
      <items count="7">
        <item x="0"/>
        <item x="1"/>
        <item x="2"/>
        <item x="3"/>
        <item x="4"/>
        <item x="5"/>
        <item t="default"/>
      </items>
    </pivotField>
    <pivotField numFmtId="14" showAll="0"/>
    <pivotField showAll="0"/>
    <pivotField showAll="0"/>
    <pivotField showAll="0"/>
    <pivotField showAll="0"/>
    <pivotField showAll="0"/>
    <pivotField showAll="0"/>
    <pivotField showAll="0"/>
    <pivotField dataField="1" showAll="0"/>
    <pivotField dataField="1" showAll="0">
      <items count="40">
        <item x="32"/>
        <item x="25"/>
        <item x="23"/>
        <item x="1"/>
        <item x="35"/>
        <item x="34"/>
        <item x="30"/>
        <item x="36"/>
        <item x="4"/>
        <item x="24"/>
        <item x="3"/>
        <item x="28"/>
        <item x="2"/>
        <item x="31"/>
        <item x="29"/>
        <item x="7"/>
        <item x="10"/>
        <item x="19"/>
        <item x="11"/>
        <item x="13"/>
        <item x="0"/>
        <item x="8"/>
        <item x="14"/>
        <item x="9"/>
        <item x="12"/>
        <item x="16"/>
        <item x="27"/>
        <item x="15"/>
        <item x="6"/>
        <item x="18"/>
        <item x="20"/>
        <item x="33"/>
        <item x="17"/>
        <item x="5"/>
        <item x="22"/>
        <item x="21"/>
        <item x="26"/>
        <item x="37"/>
        <item x="38"/>
        <item t="default"/>
      </items>
    </pivotField>
    <pivotField showAll="0">
      <items count="3">
        <item x="0"/>
        <item x="1"/>
        <item t="default"/>
      </items>
    </pivotField>
    <pivotField dragToRow="0" dragToCol="0" dragToPage="0" showAll="0" defaultSubtotal="0"/>
  </pivotFields>
  <rowFields count="1">
    <field x="1"/>
  </rowFields>
  <rowItems count="7">
    <i>
      <x/>
    </i>
    <i>
      <x v="1"/>
    </i>
    <i>
      <x v="2"/>
    </i>
    <i>
      <x v="3"/>
    </i>
    <i>
      <x v="4"/>
    </i>
    <i>
      <x v="5"/>
    </i>
    <i t="grand">
      <x/>
    </i>
  </rowItems>
  <colFields count="1">
    <field x="-2"/>
  </colFields>
  <colItems count="2">
    <i>
      <x/>
    </i>
    <i i="1">
      <x v="1"/>
    </i>
  </colItems>
  <dataFields count="2">
    <dataField name="Sum of net_profit" fld="10" baseField="1" baseItem="1" numFmtId="164"/>
    <dataField name="Average of roi" fld="11" subtotal="average" baseField="1" baseItem="1" numFmtId="166"/>
  </dataFields>
  <chartFormats count="9">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1" format="6">
      <pivotArea type="data" outline="0" fieldPosition="0">
        <references count="2">
          <reference field="4294967294" count="1" selected="0">
            <x v="0"/>
          </reference>
          <reference field="1" count="1" selected="0">
            <x v="2"/>
          </reference>
        </references>
      </pivotArea>
    </chartFormat>
    <chartFormat chart="11" format="7">
      <pivotArea type="data" outline="0" fieldPosition="0">
        <references count="2">
          <reference field="4294967294" count="1" selected="0">
            <x v="1"/>
          </reference>
          <reference field="1" count="1" selected="0">
            <x v="1"/>
          </reference>
        </references>
      </pivotArea>
    </chartFormat>
    <chartFormat chart="11" format="8">
      <pivotArea type="data" outline="0" fieldPosition="0">
        <references count="2">
          <reference field="4294967294" count="1" selected="0">
            <x v="0"/>
          </reference>
          <reference field="1" count="1" selected="0">
            <x v="1"/>
          </reference>
        </references>
      </pivotArea>
    </chartFormat>
    <chartFormat chart="11" format="9">
      <pivotArea type="data" outline="0" fieldPosition="0">
        <references count="2">
          <reference field="4294967294" count="1" selected="0">
            <x v="1"/>
          </reference>
          <reference field="1" count="1" selected="0">
            <x v="0"/>
          </reference>
        </references>
      </pivotArea>
    </chartFormat>
    <chartFormat chart="11" format="10">
      <pivotArea type="data" outline="0" fieldPosition="0">
        <references count="2">
          <reference field="4294967294" count="1" selected="0">
            <x v="0"/>
          </reference>
          <reference field="1" count="1" selected="0">
            <x v="0"/>
          </reference>
        </references>
      </pivotArea>
    </chartFormat>
    <chartFormat chart="11" format="11">
      <pivotArea type="data" outline="0" fieldPosition="0">
        <references count="2">
          <reference field="4294967294" count="1" selected="0">
            <x v="1"/>
          </reference>
          <reference field="1" count="1" selected="0">
            <x v="5"/>
          </reference>
        </references>
      </pivotArea>
    </chartFormat>
    <chartFormat chart="11" format="12">
      <pivotArea type="data" outline="0" fieldPosition="0">
        <references count="2">
          <reference field="4294967294" count="1" selected="0">
            <x v="0"/>
          </reference>
          <reference field="1" count="1" selected="0">
            <x v="5"/>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3A4B727-3628-4CB7-9F32-D67507E7C468}" autoFormatId="16" applyNumberFormats="0" applyBorderFormats="0" applyFontFormats="0" applyPatternFormats="0" applyAlignmentFormats="0" applyWidthHeightFormats="0">
  <queryTableRefresh nextId="16">
    <queryTableFields count="13">
      <queryTableField id="1" name="movie_title" tableColumnId="1"/>
      <queryTableField id="2" name="mcu_phase" tableColumnId="2"/>
      <queryTableField id="3" name="release_date" tableColumnId="3"/>
      <queryTableField id="4" name="tomato_meter" tableColumnId="4"/>
      <queryTableField id="5" name="audience_score" tableColumnId="5"/>
      <queryTableField id="6" name="movie_duration" tableColumnId="6"/>
      <queryTableField id="7" name="production_budget" tableColumnId="7"/>
      <queryTableField id="8" name="opening_weekend" tableColumnId="8"/>
      <queryTableField id="9" name="domestic_box_office" tableColumnId="9"/>
      <queryTableField id="10" name="worldwide_box_office" tableColumnId="10"/>
      <queryTableField id="14" name="net_profit" tableColumnId="14"/>
      <queryTableField id="12" name="roi" tableColumnId="12"/>
      <queryTableField id="13" name="movie_typ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cu_phase" xr10:uid="{5D144860-9A34-4408-A4EA-4CCF06D4E4CE}" sourceName="mcu_phase">
  <pivotTables>
    <pivotTable tabId="7" name="PivotTable20"/>
    <pivotTable tabId="7" name="PivotTable15"/>
    <pivotTable tabId="7" name="PivotTable17"/>
    <pivotTable tabId="7" name="PivotTable12"/>
    <pivotTable tabId="7" name="PivotTable14"/>
    <pivotTable tabId="7" name="PivotTable18"/>
  </pivotTables>
  <data>
    <tabular pivotCacheId="722040732">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vie_type" xr10:uid="{8BC14ADA-C16C-40DD-B28C-D234F1FF0333}" sourceName="movie_type">
  <pivotTables>
    <pivotTable tabId="7" name="PivotTable20"/>
    <pivotTable tabId="7" name="PivotTable12"/>
  </pivotTables>
  <data>
    <tabular pivotCacheId="722040732">
      <items count="2">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cu_phase" xr10:uid="{84AE35AB-2704-49A9-8CCA-9780B629785F}" cache="Slicer_mcu_phase" caption="mcu_phase" columnCount="2" style="Slicer Style 2" rowHeight="257175"/>
  <slicer name="movie_type" xr10:uid="{2762555A-7B95-4BD8-A0D0-0C7DA95B2B26}" cache="Slicer_movie_type" caption="movie_type" columnCount="2" style="Slicer Style 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BD792A-0F07-4517-BA05-106F019BDD6C}" name="mcu_cleaned" displayName="mcu_cleaned" ref="A1:M63" tableType="queryTable" totalsRowShown="0">
  <autoFilter ref="A1:M63" xr:uid="{23BD792A-0F07-4517-BA05-106F019BDD6C}"/>
  <tableColumns count="13">
    <tableColumn id="1" xr3:uid="{519D720E-0493-4804-B627-68CB89DD6E89}" uniqueName="1" name="movie_title" queryTableFieldId="1" dataDxfId="14"/>
    <tableColumn id="2" xr3:uid="{6171126C-00D9-4B61-8D91-484FB73C777F}" uniqueName="2" name="mcu_phase" queryTableFieldId="2" dataDxfId="13"/>
    <tableColumn id="3" xr3:uid="{02A81873-D345-450B-BE4D-0F3AE84577B9}" uniqueName="3" name="release_date" queryTableFieldId="3" dataDxfId="12"/>
    <tableColumn id="4" xr3:uid="{87C77221-8133-4262-8FF9-E45B9EFBAAF1}" uniqueName="4" name="tomato_meter" queryTableFieldId="4"/>
    <tableColumn id="5" xr3:uid="{1AA3867B-AF08-4765-8033-9E448E9765C0}" uniqueName="5" name="audience_score" queryTableFieldId="5"/>
    <tableColumn id="6" xr3:uid="{F8E0D22A-AA22-4D4E-81C2-7D6BE4FC6FDE}" uniqueName="6" name="movie_duration" queryTableFieldId="6"/>
    <tableColumn id="7" xr3:uid="{BECB0014-A776-4AA0-8B68-202113F7938A}" uniqueName="7" name="production_budget" queryTableFieldId="7"/>
    <tableColumn id="8" xr3:uid="{AC995802-1D3C-45BE-B4A9-E4D814653F4F}" uniqueName="8" name="opening_weekend" queryTableFieldId="8"/>
    <tableColumn id="9" xr3:uid="{98E35548-AAAF-4B15-BDB0-C12A99183417}" uniqueName="9" name="domestic_box_office" queryTableFieldId="9"/>
    <tableColumn id="10" xr3:uid="{C53E817F-E175-47FC-9805-9DF81FFFCF69}" uniqueName="10" name="worldwide_box_office" queryTableFieldId="10"/>
    <tableColumn id="14" xr3:uid="{43115D4D-C108-4281-93C4-68A2FDD92DF5}" uniqueName="14" name="net_profit" queryTableFieldId="14"/>
    <tableColumn id="12" xr3:uid="{319DFA7F-2761-44D7-9523-22F32C5DF010}" uniqueName="12" name="roi" queryTableFieldId="12"/>
    <tableColumn id="13" xr3:uid="{6A56F93A-6AA9-4056-9A65-F11986348C16}" uniqueName="13" name="movie_type" queryTableFieldId="13"/>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B1C8AD-AD0D-44C2-B7AB-E7EC75600913}" name="Table1" displayName="Table1" ref="A1:M63" totalsRowShown="0">
  <autoFilter ref="A1:M63" xr:uid="{7AB1C8AD-AD0D-44C2-B7AB-E7EC75600913}"/>
  <tableColumns count="13">
    <tableColumn id="1" xr3:uid="{4C20FC31-47A5-41B0-8452-7E07213BDAD3}" name="movie_title"/>
    <tableColumn id="2" xr3:uid="{CBCC5A6C-5763-48EB-A649-A47ABF204C35}" name="mcu_phase"/>
    <tableColumn id="3" xr3:uid="{E8172B45-3DCE-4984-9564-3AF61E5CDBEF}" name="release_date" dataDxfId="11"/>
    <tableColumn id="4" xr3:uid="{4F76ABC5-CBBB-4AC4-A0EE-BA97D9A5CC5B}" name="tomato_meter" dataDxfId="10"/>
    <tableColumn id="5" xr3:uid="{9E7F9B76-E284-41B0-BA46-7077A8B3309E}" name="audience_score" dataDxfId="9"/>
    <tableColumn id="6" xr3:uid="{DE3059F5-5563-4013-8B92-427768EC101A}" name="movie_duration"/>
    <tableColumn id="7" xr3:uid="{79CEE7F6-D7EC-44F2-B8A9-27660EDAF09B}" name="production_budget" dataDxfId="8" dataCellStyle="Currency"/>
    <tableColumn id="8" xr3:uid="{A93A5B49-AD66-4AAF-9C08-4224C16912F9}" name="opening_weekend" dataDxfId="7"/>
    <tableColumn id="9" xr3:uid="{BE275C8B-7826-4215-93F7-A887A0A60D4A}" name="domestic_box_office" dataDxfId="6"/>
    <tableColumn id="10" xr3:uid="{1BADB163-B058-4866-8273-071DCAD84911}" name="worldwide_box_office" dataDxfId="5" dataCellStyle="Currency"/>
    <tableColumn id="11" xr3:uid="{872C2CCF-6759-474E-B468-D92F2BD4998F}" name="net_profit" dataDxfId="4">
      <calculatedColumnFormula>IFERROR(Table1[[#This Row],[worldwide_box_office]]-Table1[[#This Row],[production_budget]],"null")</calculatedColumnFormula>
    </tableColumn>
    <tableColumn id="12" xr3:uid="{C2E32B56-4E26-4DFF-9A0B-ABF52B39EC8B}" name="roi" dataCellStyle="Percent">
      <calculatedColumnFormula>IFERROR(Table1[[#This Row],[net_profit]]/Table1[[#This Row],[production_budget]],"null")</calculatedColumnFormula>
    </tableColumn>
    <tableColumn id="13" xr3:uid="{9B7F279E-B33E-42D1-95B3-76613B7B4B02}" name="movie_type" dataDxfId="3">
      <calculatedColumnFormula>IF(Table1[[#This Row],[production_budget]]="null","TV Show","Movie")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07F6E-4118-4780-8ED2-254BAD51B7D7}">
  <sheetPr>
    <pageSetUpPr fitToPage="1"/>
  </sheetPr>
  <dimension ref="A1"/>
  <sheetViews>
    <sheetView tabSelected="1" zoomScaleNormal="100" workbookViewId="0">
      <selection activeCell="Y50" sqref="Y50"/>
    </sheetView>
  </sheetViews>
  <sheetFormatPr defaultRowHeight="15" x14ac:dyDescent="0.25"/>
  <sheetData/>
  <pageMargins left="0.25" right="0.25"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698D7-A9F8-4770-91F3-1C9543EB419E}">
  <dimension ref="A1:L87"/>
  <sheetViews>
    <sheetView zoomScale="70" zoomScaleNormal="70" workbookViewId="0">
      <selection sqref="A1:G1"/>
    </sheetView>
  </sheetViews>
  <sheetFormatPr defaultRowHeight="15" x14ac:dyDescent="0.25"/>
  <cols>
    <col min="1" max="1" width="13.42578125" bestFit="1" customWidth="1"/>
    <col min="2" max="2" width="23.7109375" customWidth="1"/>
    <col min="3" max="3" width="16.7109375" customWidth="1"/>
    <col min="4" max="4" width="13.42578125" bestFit="1" customWidth="1"/>
    <col min="5" max="5" width="25.28515625" bestFit="1" customWidth="1"/>
    <col min="6" max="6" width="16.7109375" bestFit="1" customWidth="1"/>
    <col min="7" max="7" width="25.28515625" bestFit="1" customWidth="1"/>
    <col min="8" max="8" width="21" customWidth="1"/>
    <col min="9" max="9" width="22.28515625" bestFit="1" customWidth="1"/>
    <col min="10" max="10" width="12" bestFit="1" customWidth="1"/>
    <col min="11" max="11" width="38.7109375" bestFit="1" customWidth="1"/>
    <col min="12" max="12" width="22.28515625" bestFit="1" customWidth="1"/>
    <col min="13" max="23" width="12" bestFit="1" customWidth="1"/>
    <col min="24" max="24" width="11" bestFit="1" customWidth="1"/>
    <col min="25" max="26" width="12" bestFit="1" customWidth="1"/>
    <col min="27" max="27" width="10" bestFit="1" customWidth="1"/>
    <col min="28" max="30" width="11" bestFit="1" customWidth="1"/>
    <col min="31" max="33" width="12" bestFit="1" customWidth="1"/>
    <col min="34" max="34" width="11" bestFit="1" customWidth="1"/>
    <col min="35" max="35" width="10" bestFit="1" customWidth="1"/>
    <col min="36" max="37" width="12" bestFit="1" customWidth="1"/>
    <col min="38" max="38" width="11" bestFit="1" customWidth="1"/>
    <col min="39" max="39" width="12" bestFit="1" customWidth="1"/>
    <col min="40" max="40" width="4.42578125" bestFit="1" customWidth="1"/>
    <col min="41" max="41" width="11.28515625" bestFit="1" customWidth="1"/>
  </cols>
  <sheetData>
    <row r="1" spans="1:12" ht="18.75" x14ac:dyDescent="0.3">
      <c r="A1" s="13" t="s">
        <v>102</v>
      </c>
      <c r="B1" s="13"/>
      <c r="C1" s="13"/>
      <c r="D1" s="13"/>
      <c r="E1" s="13"/>
      <c r="F1" s="13"/>
      <c r="G1" s="13"/>
    </row>
    <row r="3" spans="1:12" x14ac:dyDescent="0.25">
      <c r="A3" s="11" t="s">
        <v>103</v>
      </c>
      <c r="B3" s="12">
        <f>GETPIVOTDATA("Sum of worldwide_box_office",$A$24)</f>
        <v>34722689620</v>
      </c>
      <c r="G3" s="6" t="s">
        <v>87</v>
      </c>
      <c r="H3" t="s">
        <v>99</v>
      </c>
      <c r="K3" s="6" t="s">
        <v>87</v>
      </c>
      <c r="L3" t="s">
        <v>101</v>
      </c>
    </row>
    <row r="4" spans="1:12" x14ac:dyDescent="0.25">
      <c r="A4" s="11" t="s">
        <v>104</v>
      </c>
      <c r="B4" s="12">
        <f>GETPIVOTDATA("Sum of net_profit",$A$24)</f>
        <v>26991189620</v>
      </c>
      <c r="G4" s="7" t="s">
        <v>33</v>
      </c>
      <c r="H4" s="3">
        <v>2443439100</v>
      </c>
      <c r="K4" s="7" t="s">
        <v>33</v>
      </c>
      <c r="L4" s="8">
        <v>6.8635929775280902</v>
      </c>
    </row>
    <row r="5" spans="1:12" x14ac:dyDescent="0.25">
      <c r="A5" s="11" t="s">
        <v>105</v>
      </c>
      <c r="B5" s="10">
        <f>GETPIVOTDATA("Average of roi",$A$24)</f>
        <v>3.3916166225377027</v>
      </c>
      <c r="G5" s="7" t="s">
        <v>30</v>
      </c>
      <c r="H5" s="3">
        <v>1727415039</v>
      </c>
      <c r="K5" s="7" t="s">
        <v>51</v>
      </c>
      <c r="L5" s="8">
        <v>8.8867356133333342</v>
      </c>
    </row>
    <row r="6" spans="1:12" x14ac:dyDescent="0.25">
      <c r="A6" s="11" t="s">
        <v>106</v>
      </c>
      <c r="B6" s="16">
        <f>GETPIVOTDATA("Average of movie_duration",$A$24)</f>
        <v>130.86842105263159</v>
      </c>
      <c r="G6" s="7" t="s">
        <v>51</v>
      </c>
      <c r="H6" s="3">
        <v>1999515513</v>
      </c>
      <c r="K6" s="7" t="s">
        <v>34</v>
      </c>
      <c r="L6" s="8">
        <v>6.074549975</v>
      </c>
    </row>
    <row r="7" spans="1:12" x14ac:dyDescent="0.25">
      <c r="G7" s="7" t="s">
        <v>38</v>
      </c>
      <c r="H7" s="3">
        <v>1722560366</v>
      </c>
      <c r="K7" s="7" t="s">
        <v>38</v>
      </c>
      <c r="L7" s="8">
        <v>8.6128018300000004</v>
      </c>
    </row>
    <row r="8" spans="1:12" x14ac:dyDescent="0.25">
      <c r="A8" s="6" t="s">
        <v>87</v>
      </c>
      <c r="B8" t="s">
        <v>99</v>
      </c>
      <c r="C8" t="s">
        <v>100</v>
      </c>
      <c r="G8" s="7" t="s">
        <v>16</v>
      </c>
      <c r="H8" s="3">
        <v>1298812988</v>
      </c>
      <c r="K8" s="7" t="s">
        <v>16</v>
      </c>
      <c r="L8" s="8">
        <v>5.9036954000000001</v>
      </c>
    </row>
    <row r="9" spans="1:12" x14ac:dyDescent="0.25">
      <c r="A9" s="7" t="s">
        <v>11</v>
      </c>
      <c r="B9" s="3">
        <v>2823735875</v>
      </c>
      <c r="C9" s="8">
        <v>2.627936707204185</v>
      </c>
      <c r="G9" s="7" t="s">
        <v>88</v>
      </c>
      <c r="H9" s="3">
        <v>9191743006</v>
      </c>
      <c r="K9" s="7" t="s">
        <v>88</v>
      </c>
      <c r="L9" s="8">
        <v>36.341375795861424</v>
      </c>
    </row>
    <row r="10" spans="1:12" x14ac:dyDescent="0.25">
      <c r="A10" s="7" t="s">
        <v>18</v>
      </c>
      <c r="B10" s="3">
        <v>4056814362</v>
      </c>
      <c r="C10" s="8">
        <v>3.4058212289952272</v>
      </c>
    </row>
    <row r="11" spans="1:12" x14ac:dyDescent="0.25">
      <c r="A11" s="7" t="s">
        <v>25</v>
      </c>
      <c r="B11" s="3">
        <v>11179356288</v>
      </c>
      <c r="C11" s="8">
        <v>4.5617631685119733</v>
      </c>
    </row>
    <row r="12" spans="1:12" x14ac:dyDescent="0.25">
      <c r="A12" s="7" t="s">
        <v>36</v>
      </c>
      <c r="B12" s="3">
        <v>4226532933</v>
      </c>
      <c r="C12" s="8">
        <v>2.9080390808482646</v>
      </c>
      <c r="G12" s="6" t="s">
        <v>87</v>
      </c>
      <c r="H12" t="s">
        <v>89</v>
      </c>
      <c r="K12" s="6" t="s">
        <v>87</v>
      </c>
      <c r="L12" t="s">
        <v>90</v>
      </c>
    </row>
    <row r="13" spans="1:12" x14ac:dyDescent="0.25">
      <c r="A13" s="7" t="s">
        <v>43</v>
      </c>
      <c r="B13" s="3">
        <v>2383375921</v>
      </c>
      <c r="C13" s="8">
        <v>1.9411977277222221</v>
      </c>
      <c r="G13" s="7" t="s">
        <v>29</v>
      </c>
      <c r="H13" s="15">
        <v>96</v>
      </c>
      <c r="K13" s="7" t="s">
        <v>41</v>
      </c>
      <c r="L13" s="15">
        <v>95</v>
      </c>
    </row>
    <row r="14" spans="1:12" x14ac:dyDescent="0.25">
      <c r="A14" s="7" t="s">
        <v>50</v>
      </c>
      <c r="B14" s="3">
        <v>2321374241</v>
      </c>
      <c r="C14" s="8">
        <v>5.2480146266666674</v>
      </c>
      <c r="G14" s="7" t="s">
        <v>58</v>
      </c>
      <c r="H14" s="15">
        <v>98</v>
      </c>
      <c r="K14" s="7" t="s">
        <v>46</v>
      </c>
      <c r="L14" s="15">
        <v>94</v>
      </c>
    </row>
    <row r="15" spans="1:12" x14ac:dyDescent="0.25">
      <c r="A15" s="7" t="s">
        <v>88</v>
      </c>
      <c r="B15" s="3">
        <v>26991189620</v>
      </c>
      <c r="C15" s="8">
        <v>3.3916166225377027</v>
      </c>
      <c r="G15" s="7" t="s">
        <v>64</v>
      </c>
      <c r="H15" s="15">
        <v>99</v>
      </c>
      <c r="K15" s="7" t="s">
        <v>44</v>
      </c>
      <c r="L15" s="15">
        <v>94</v>
      </c>
    </row>
    <row r="16" spans="1:12" x14ac:dyDescent="0.25">
      <c r="G16" s="7" t="s">
        <v>75</v>
      </c>
      <c r="H16" s="15">
        <v>96</v>
      </c>
      <c r="K16" s="7" t="s">
        <v>37</v>
      </c>
      <c r="L16" s="15">
        <v>98</v>
      </c>
    </row>
    <row r="17" spans="1:12" x14ac:dyDescent="0.25">
      <c r="G17" s="7" t="s">
        <v>66</v>
      </c>
      <c r="H17" s="15">
        <v>97</v>
      </c>
      <c r="K17" s="7" t="s">
        <v>34</v>
      </c>
      <c r="L17" s="15">
        <v>95</v>
      </c>
    </row>
    <row r="18" spans="1:12" x14ac:dyDescent="0.25">
      <c r="G18" s="7" t="s">
        <v>88</v>
      </c>
      <c r="H18" s="15">
        <v>486</v>
      </c>
      <c r="K18" s="7" t="s">
        <v>38</v>
      </c>
      <c r="L18" s="15">
        <v>97</v>
      </c>
    </row>
    <row r="19" spans="1:12" x14ac:dyDescent="0.25">
      <c r="K19" s="7" t="s">
        <v>88</v>
      </c>
      <c r="L19" s="15">
        <v>573</v>
      </c>
    </row>
    <row r="22" spans="1:12" x14ac:dyDescent="0.25">
      <c r="A22" s="6" t="s">
        <v>93</v>
      </c>
      <c r="B22" t="s">
        <v>107</v>
      </c>
    </row>
    <row r="24" spans="1:12" x14ac:dyDescent="0.25">
      <c r="A24" s="6" t="s">
        <v>87</v>
      </c>
      <c r="B24" t="s">
        <v>91</v>
      </c>
      <c r="C24" t="s">
        <v>99</v>
      </c>
      <c r="D24" t="s">
        <v>100</v>
      </c>
      <c r="E24" t="s">
        <v>108</v>
      </c>
    </row>
    <row r="25" spans="1:12" x14ac:dyDescent="0.25">
      <c r="A25" s="7" t="s">
        <v>65</v>
      </c>
      <c r="B25" s="3"/>
      <c r="C25" s="3"/>
      <c r="D25" s="8"/>
      <c r="E25" s="15"/>
    </row>
    <row r="26" spans="1:12" x14ac:dyDescent="0.25">
      <c r="A26" s="7" t="s">
        <v>23</v>
      </c>
      <c r="B26" s="3">
        <v>519311965</v>
      </c>
      <c r="C26" s="3">
        <v>389311965</v>
      </c>
      <c r="D26" s="8">
        <v>2.9947074230769233</v>
      </c>
      <c r="E26" s="15">
        <v>117</v>
      </c>
    </row>
    <row r="27" spans="1:12" x14ac:dyDescent="0.25">
      <c r="A27" s="7" t="s">
        <v>31</v>
      </c>
      <c r="B27" s="3">
        <v>622674139</v>
      </c>
      <c r="C27" s="3">
        <v>460674139</v>
      </c>
      <c r="D27" s="8">
        <v>2.8436675246913579</v>
      </c>
      <c r="E27" s="15">
        <v>118</v>
      </c>
    </row>
    <row r="28" spans="1:12" x14ac:dyDescent="0.25">
      <c r="A28" s="7" t="s">
        <v>42</v>
      </c>
      <c r="B28" s="3">
        <v>476071180</v>
      </c>
      <c r="C28" s="3">
        <v>276071180</v>
      </c>
      <c r="D28" s="8">
        <v>1.3803559000000001</v>
      </c>
      <c r="E28" s="15">
        <v>125</v>
      </c>
    </row>
    <row r="29" spans="1:12" x14ac:dyDescent="0.25">
      <c r="A29" s="7" t="s">
        <v>22</v>
      </c>
      <c r="B29" s="3">
        <v>1395316979</v>
      </c>
      <c r="C29" s="3">
        <v>1030316979</v>
      </c>
      <c r="D29" s="8">
        <v>2.8227862438356164</v>
      </c>
      <c r="E29" s="15">
        <v>141</v>
      </c>
    </row>
    <row r="30" spans="1:12" x14ac:dyDescent="0.25">
      <c r="A30" s="7" t="s">
        <v>33</v>
      </c>
      <c r="B30" s="3">
        <v>2799439100</v>
      </c>
      <c r="C30" s="3">
        <v>2443439100</v>
      </c>
      <c r="D30" s="8">
        <v>6.8635929775280902</v>
      </c>
      <c r="E30" s="15">
        <v>181</v>
      </c>
    </row>
    <row r="31" spans="1:12" x14ac:dyDescent="0.25">
      <c r="A31" s="7" t="s">
        <v>30</v>
      </c>
      <c r="B31" s="3">
        <v>2052415039</v>
      </c>
      <c r="C31" s="3">
        <v>1727415039</v>
      </c>
      <c r="D31" s="8">
        <v>5.3151231969230768</v>
      </c>
      <c r="E31" s="15">
        <v>149</v>
      </c>
    </row>
    <row r="32" spans="1:12" x14ac:dyDescent="0.25">
      <c r="A32" s="7" t="s">
        <v>29</v>
      </c>
      <c r="B32" s="3">
        <v>1353282444</v>
      </c>
      <c r="C32" s="3">
        <v>1153282444</v>
      </c>
      <c r="D32" s="8">
        <v>5.7664122200000003</v>
      </c>
      <c r="E32" s="15">
        <v>134</v>
      </c>
    </row>
    <row r="33" spans="1:5" x14ac:dyDescent="0.25">
      <c r="A33" s="7" t="s">
        <v>41</v>
      </c>
      <c r="B33" s="3">
        <v>859208836</v>
      </c>
      <c r="C33" s="3">
        <v>609208836</v>
      </c>
      <c r="D33" s="8">
        <v>2.4368353439999999</v>
      </c>
      <c r="E33" s="15">
        <v>161</v>
      </c>
    </row>
    <row r="34" spans="1:5" x14ac:dyDescent="0.25">
      <c r="A34" s="7" t="s">
        <v>35</v>
      </c>
      <c r="B34" s="3">
        <v>379751655</v>
      </c>
      <c r="C34" s="3">
        <v>179751655</v>
      </c>
      <c r="D34" s="8">
        <v>0.89875827500000005</v>
      </c>
      <c r="E34" s="15">
        <v>134</v>
      </c>
    </row>
    <row r="35" spans="1:5" x14ac:dyDescent="0.25">
      <c r="A35" s="7" t="s">
        <v>47</v>
      </c>
      <c r="B35" s="3">
        <v>415101577</v>
      </c>
      <c r="C35" s="3">
        <v>235101577</v>
      </c>
      <c r="D35" s="8">
        <v>1.3061198722222223</v>
      </c>
      <c r="E35" s="15">
        <v>118</v>
      </c>
    </row>
    <row r="36" spans="1:5" x14ac:dyDescent="0.25">
      <c r="A36" s="7" t="s">
        <v>24</v>
      </c>
      <c r="B36" s="3">
        <v>1153296293</v>
      </c>
      <c r="C36" s="3">
        <v>903296293</v>
      </c>
      <c r="D36" s="8">
        <v>3.6131851720000001</v>
      </c>
      <c r="E36" s="15">
        <v>147</v>
      </c>
    </row>
    <row r="37" spans="1:5" x14ac:dyDescent="0.25">
      <c r="A37" s="7" t="s">
        <v>15</v>
      </c>
      <c r="B37" s="3">
        <v>370569774</v>
      </c>
      <c r="C37" s="3">
        <v>230569774</v>
      </c>
      <c r="D37" s="8">
        <v>1.6469269571428571</v>
      </c>
      <c r="E37" s="15">
        <v>124</v>
      </c>
    </row>
    <row r="38" spans="1:5" x14ac:dyDescent="0.25">
      <c r="A38" s="7" t="s">
        <v>20</v>
      </c>
      <c r="B38" s="3">
        <v>714421503</v>
      </c>
      <c r="C38" s="3">
        <v>544421503</v>
      </c>
      <c r="D38" s="8">
        <v>3.2024794294117647</v>
      </c>
      <c r="E38" s="15">
        <v>136</v>
      </c>
    </row>
    <row r="39" spans="1:5" x14ac:dyDescent="0.25">
      <c r="A39" s="7" t="s">
        <v>32</v>
      </c>
      <c r="B39" s="3">
        <v>1131934225</v>
      </c>
      <c r="C39" s="3">
        <v>956934225</v>
      </c>
      <c r="D39" s="8">
        <v>5.4681955714285717</v>
      </c>
      <c r="E39" s="15">
        <v>123</v>
      </c>
    </row>
    <row r="40" spans="1:5" x14ac:dyDescent="0.25">
      <c r="A40" s="7" t="s">
        <v>67</v>
      </c>
      <c r="B40" s="3"/>
      <c r="C40" s="3"/>
      <c r="D40" s="8"/>
      <c r="E40" s="15"/>
    </row>
    <row r="41" spans="1:5" x14ac:dyDescent="0.25">
      <c r="A41" s="7" t="s">
        <v>73</v>
      </c>
      <c r="B41" s="3"/>
      <c r="C41" s="3"/>
      <c r="D41" s="8"/>
      <c r="E41" s="15"/>
    </row>
    <row r="42" spans="1:5" x14ac:dyDescent="0.25">
      <c r="A42" s="7" t="s">
        <v>46</v>
      </c>
      <c r="B42" s="3">
        <v>1338073645</v>
      </c>
      <c r="C42" s="3">
        <v>1138073645</v>
      </c>
      <c r="D42" s="8">
        <v>5.6903682250000003</v>
      </c>
      <c r="E42" s="15">
        <v>128</v>
      </c>
    </row>
    <row r="43" spans="1:5" x14ac:dyDescent="0.25">
      <c r="A43" s="7" t="s">
        <v>26</v>
      </c>
      <c r="B43" s="3">
        <v>677796076</v>
      </c>
      <c r="C43" s="3">
        <v>512796076</v>
      </c>
      <c r="D43" s="8">
        <v>3.1078550060606061</v>
      </c>
      <c r="E43" s="15">
        <v>115</v>
      </c>
    </row>
    <row r="44" spans="1:5" x14ac:dyDescent="0.25">
      <c r="A44" s="7" t="s">
        <v>39</v>
      </c>
      <c r="B44" s="3">
        <v>955775804</v>
      </c>
      <c r="C44" s="3">
        <v>755775804</v>
      </c>
      <c r="D44" s="8">
        <v>3.7788790200000002</v>
      </c>
      <c r="E44" s="15">
        <v>126</v>
      </c>
    </row>
    <row r="45" spans="1:5" x14ac:dyDescent="0.25">
      <c r="A45" s="7" t="s">
        <v>63</v>
      </c>
      <c r="B45" s="3"/>
      <c r="C45" s="3"/>
      <c r="D45" s="8"/>
      <c r="E45" s="15"/>
    </row>
    <row r="46" spans="1:5" x14ac:dyDescent="0.25">
      <c r="A46" s="7" t="s">
        <v>83</v>
      </c>
      <c r="B46" s="3">
        <v>402064899</v>
      </c>
      <c r="C46" s="3">
        <v>166064899</v>
      </c>
      <c r="D46" s="8">
        <v>0.70366482627118643</v>
      </c>
      <c r="E46" s="15">
        <v>156</v>
      </c>
    </row>
    <row r="47" spans="1:5" x14ac:dyDescent="0.25">
      <c r="A47" s="7" t="s">
        <v>69</v>
      </c>
      <c r="B47" s="3"/>
      <c r="C47" s="3"/>
      <c r="D47" s="8"/>
      <c r="E47" s="15"/>
    </row>
    <row r="48" spans="1:5" x14ac:dyDescent="0.25">
      <c r="A48" s="7" t="s">
        <v>21</v>
      </c>
      <c r="B48" s="3">
        <v>773350147</v>
      </c>
      <c r="C48" s="3">
        <v>603350147</v>
      </c>
      <c r="D48" s="8">
        <v>3.5491185117647057</v>
      </c>
      <c r="E48" s="15">
        <v>121</v>
      </c>
    </row>
    <row r="49" spans="1:5" x14ac:dyDescent="0.25">
      <c r="A49" s="7" t="s">
        <v>27</v>
      </c>
      <c r="B49" s="3">
        <v>869122246</v>
      </c>
      <c r="C49" s="3">
        <v>669122246</v>
      </c>
      <c r="D49" s="8">
        <v>3.3456112299999998</v>
      </c>
      <c r="E49" s="15">
        <v>136</v>
      </c>
    </row>
    <row r="50" spans="1:5" x14ac:dyDescent="0.25">
      <c r="A50" s="7" t="s">
        <v>44</v>
      </c>
      <c r="B50" s="3">
        <v>845555777</v>
      </c>
      <c r="C50" s="3">
        <v>595555777</v>
      </c>
      <c r="D50" s="8">
        <v>2.3822231079999998</v>
      </c>
      <c r="E50" s="15">
        <v>150</v>
      </c>
    </row>
    <row r="51" spans="1:5" x14ac:dyDescent="0.25">
      <c r="A51" s="7" t="s">
        <v>56</v>
      </c>
      <c r="B51" s="3"/>
      <c r="C51" s="3"/>
      <c r="D51" s="8"/>
      <c r="E51" s="15"/>
    </row>
    <row r="52" spans="1:5" x14ac:dyDescent="0.25">
      <c r="A52" s="7" t="s">
        <v>10</v>
      </c>
      <c r="B52" s="3">
        <v>585796247</v>
      </c>
      <c r="C52" s="3">
        <v>445796247</v>
      </c>
      <c r="D52" s="8">
        <v>3.1842589071428571</v>
      </c>
      <c r="E52" s="15">
        <v>126</v>
      </c>
    </row>
    <row r="53" spans="1:5" x14ac:dyDescent="0.25">
      <c r="A53" s="7" t="s">
        <v>13</v>
      </c>
      <c r="B53" s="3">
        <v>621156389</v>
      </c>
      <c r="C53" s="3">
        <v>421156389</v>
      </c>
      <c r="D53" s="8">
        <v>2.1057819449999999</v>
      </c>
      <c r="E53" s="15">
        <v>124</v>
      </c>
    </row>
    <row r="54" spans="1:5" x14ac:dyDescent="0.25">
      <c r="A54" s="7" t="s">
        <v>17</v>
      </c>
      <c r="B54" s="3">
        <v>1214811252</v>
      </c>
      <c r="C54" s="3">
        <v>1014811252</v>
      </c>
      <c r="D54" s="8">
        <v>5.0740562599999999</v>
      </c>
      <c r="E54" s="15">
        <v>130</v>
      </c>
    </row>
    <row r="55" spans="1:5" x14ac:dyDescent="0.25">
      <c r="A55" s="7" t="s">
        <v>68</v>
      </c>
      <c r="B55" s="3"/>
      <c r="C55" s="3"/>
      <c r="D55" s="8"/>
      <c r="E55" s="15"/>
    </row>
    <row r="56" spans="1:5" x14ac:dyDescent="0.25">
      <c r="A56" s="7" t="s">
        <v>54</v>
      </c>
      <c r="B56" s="3"/>
      <c r="C56" s="3"/>
      <c r="D56" s="8"/>
      <c r="E56" s="15"/>
    </row>
    <row r="57" spans="1:5" x14ac:dyDescent="0.25">
      <c r="A57" s="7" t="s">
        <v>61</v>
      </c>
      <c r="B57" s="3"/>
      <c r="C57" s="3"/>
      <c r="D57" s="8"/>
      <c r="E57" s="15"/>
    </row>
    <row r="58" spans="1:5" x14ac:dyDescent="0.25">
      <c r="A58" s="7" t="s">
        <v>70</v>
      </c>
      <c r="B58" s="3"/>
      <c r="C58" s="3"/>
      <c r="D58" s="8"/>
      <c r="E58" s="15"/>
    </row>
    <row r="59" spans="1:5" x14ac:dyDescent="0.25">
      <c r="A59" s="7" t="s">
        <v>57</v>
      </c>
      <c r="B59" s="3"/>
      <c r="C59" s="3"/>
      <c r="D59" s="8"/>
      <c r="E59" s="15"/>
    </row>
    <row r="60" spans="1:5" x14ac:dyDescent="0.25">
      <c r="A60" s="7" t="s">
        <v>58</v>
      </c>
      <c r="B60" s="3"/>
      <c r="C60" s="3"/>
      <c r="D60" s="8"/>
      <c r="E60" s="15"/>
    </row>
    <row r="61" spans="1:5" x14ac:dyDescent="0.25">
      <c r="A61" s="7" t="s">
        <v>60</v>
      </c>
      <c r="B61" s="3"/>
      <c r="C61" s="3"/>
      <c r="D61" s="8"/>
      <c r="E61" s="15"/>
    </row>
    <row r="62" spans="1:5" x14ac:dyDescent="0.25">
      <c r="A62" s="7" t="s">
        <v>37</v>
      </c>
      <c r="B62" s="3">
        <v>432243292</v>
      </c>
      <c r="C62" s="3">
        <v>282243292</v>
      </c>
      <c r="D62" s="8">
        <v>1.8816219466666666</v>
      </c>
      <c r="E62" s="15">
        <v>132</v>
      </c>
    </row>
    <row r="63" spans="1:5" x14ac:dyDescent="0.25">
      <c r="A63" s="7" t="s">
        <v>59</v>
      </c>
      <c r="B63" s="3"/>
      <c r="C63" s="3"/>
      <c r="D63" s="8"/>
      <c r="E63" s="15"/>
    </row>
    <row r="64" spans="1:5" x14ac:dyDescent="0.25">
      <c r="A64" s="7" t="s">
        <v>51</v>
      </c>
      <c r="B64" s="3">
        <v>2224515513</v>
      </c>
      <c r="C64" s="3">
        <v>1999515513</v>
      </c>
      <c r="D64" s="8">
        <v>8.8867356133333342</v>
      </c>
      <c r="E64" s="15">
        <v>136</v>
      </c>
    </row>
    <row r="65" spans="1:5" x14ac:dyDescent="0.25">
      <c r="A65" s="7" t="s">
        <v>34</v>
      </c>
      <c r="B65" s="3">
        <v>1131927996</v>
      </c>
      <c r="C65" s="3">
        <v>971927996</v>
      </c>
      <c r="D65" s="8">
        <v>6.074549975</v>
      </c>
      <c r="E65" s="15">
        <v>129</v>
      </c>
    </row>
    <row r="66" spans="1:5" x14ac:dyDescent="0.25">
      <c r="A66" s="7" t="s">
        <v>28</v>
      </c>
      <c r="B66" s="3">
        <v>880166924</v>
      </c>
      <c r="C66" s="3">
        <v>705166924</v>
      </c>
      <c r="D66" s="8">
        <v>4.0295252799999997</v>
      </c>
      <c r="E66" s="15">
        <v>133</v>
      </c>
    </row>
    <row r="67" spans="1:5" x14ac:dyDescent="0.25">
      <c r="A67" s="7" t="s">
        <v>38</v>
      </c>
      <c r="B67" s="3">
        <v>1922560366</v>
      </c>
      <c r="C67" s="3">
        <v>1722560366</v>
      </c>
      <c r="D67" s="8">
        <v>8.6128018300000004</v>
      </c>
      <c r="E67" s="15">
        <v>148</v>
      </c>
    </row>
    <row r="68" spans="1:5" x14ac:dyDescent="0.25">
      <c r="A68" s="7" t="s">
        <v>16</v>
      </c>
      <c r="B68" s="3">
        <v>1518812988</v>
      </c>
      <c r="C68" s="3">
        <v>1298812988</v>
      </c>
      <c r="D68" s="8">
        <v>5.9036954000000001</v>
      </c>
      <c r="E68" s="15">
        <v>143</v>
      </c>
    </row>
    <row r="69" spans="1:5" x14ac:dyDescent="0.25">
      <c r="A69" s="7" t="s">
        <v>53</v>
      </c>
      <c r="B69" s="3"/>
      <c r="C69" s="3"/>
      <c r="D69" s="8"/>
      <c r="E69" s="15"/>
    </row>
    <row r="70" spans="1:5" x14ac:dyDescent="0.25">
      <c r="A70" s="7" t="s">
        <v>49</v>
      </c>
      <c r="B70" s="3">
        <v>521858728</v>
      </c>
      <c r="C70" s="3">
        <v>321858728</v>
      </c>
      <c r="D70" s="8">
        <v>1.60929364</v>
      </c>
      <c r="E70" s="15">
        <v>114</v>
      </c>
    </row>
    <row r="71" spans="1:5" x14ac:dyDescent="0.25">
      <c r="A71" s="7" t="s">
        <v>12</v>
      </c>
      <c r="B71" s="3">
        <v>265573859</v>
      </c>
      <c r="C71" s="3">
        <v>128073859</v>
      </c>
      <c r="D71" s="8">
        <v>0.93144624727272729</v>
      </c>
      <c r="E71" s="15">
        <v>112</v>
      </c>
    </row>
    <row r="72" spans="1:5" x14ac:dyDescent="0.25">
      <c r="A72" s="7" t="s">
        <v>45</v>
      </c>
      <c r="B72" s="3">
        <v>206136825</v>
      </c>
      <c r="C72" s="3">
        <v>-63863175</v>
      </c>
      <c r="D72" s="8">
        <v>-0.23653027777777777</v>
      </c>
      <c r="E72" s="15">
        <v>105</v>
      </c>
    </row>
    <row r="73" spans="1:5" x14ac:dyDescent="0.25">
      <c r="A73" s="7" t="s">
        <v>74</v>
      </c>
      <c r="B73" s="3"/>
      <c r="C73" s="3"/>
      <c r="D73" s="8"/>
      <c r="E73" s="15"/>
    </row>
    <row r="74" spans="1:5" x14ac:dyDescent="0.25">
      <c r="A74" s="7" t="s">
        <v>14</v>
      </c>
      <c r="B74" s="3">
        <v>449326618</v>
      </c>
      <c r="C74" s="3">
        <v>299326618</v>
      </c>
      <c r="D74" s="8">
        <v>1.9955107866666666</v>
      </c>
      <c r="E74" s="15">
        <v>114</v>
      </c>
    </row>
    <row r="75" spans="1:5" x14ac:dyDescent="0.25">
      <c r="A75" s="7" t="s">
        <v>40</v>
      </c>
      <c r="B75" s="3">
        <v>760928081</v>
      </c>
      <c r="C75" s="3">
        <v>510928081</v>
      </c>
      <c r="D75" s="8">
        <v>2.0437123239999999</v>
      </c>
      <c r="E75" s="15">
        <v>118</v>
      </c>
    </row>
    <row r="76" spans="1:5" x14ac:dyDescent="0.25">
      <c r="A76" s="7" t="s">
        <v>82</v>
      </c>
      <c r="B76" s="3">
        <v>855301806</v>
      </c>
      <c r="C76" s="3">
        <v>675301806</v>
      </c>
      <c r="D76" s="8">
        <v>3.7516767</v>
      </c>
      <c r="E76" s="15">
        <v>130</v>
      </c>
    </row>
    <row r="77" spans="1:5" x14ac:dyDescent="0.25">
      <c r="A77" s="7" t="s">
        <v>19</v>
      </c>
      <c r="B77" s="3">
        <v>644602516</v>
      </c>
      <c r="C77" s="3">
        <v>474602516</v>
      </c>
      <c r="D77" s="8">
        <v>2.7917795058823529</v>
      </c>
      <c r="E77" s="15">
        <v>112</v>
      </c>
    </row>
    <row r="78" spans="1:5" x14ac:dyDescent="0.25">
      <c r="A78" s="7" t="s">
        <v>48</v>
      </c>
      <c r="B78" s="3">
        <v>382436917</v>
      </c>
      <c r="C78" s="3">
        <v>202436917</v>
      </c>
      <c r="D78" s="8">
        <v>1.1246495388888889</v>
      </c>
      <c r="E78" s="15">
        <v>127</v>
      </c>
    </row>
    <row r="79" spans="1:5" x14ac:dyDescent="0.25">
      <c r="A79" s="7" t="s">
        <v>52</v>
      </c>
      <c r="B79" s="3"/>
      <c r="C79" s="3"/>
      <c r="D79" s="8"/>
      <c r="E79" s="15"/>
    </row>
    <row r="80" spans="1:5" x14ac:dyDescent="0.25">
      <c r="A80" s="7" t="s">
        <v>55</v>
      </c>
      <c r="B80" s="3"/>
      <c r="C80" s="3"/>
      <c r="D80" s="8"/>
      <c r="E80" s="15"/>
    </row>
    <row r="81" spans="1:5" x14ac:dyDescent="0.25">
      <c r="A81" s="7" t="s">
        <v>62</v>
      </c>
      <c r="B81" s="3"/>
      <c r="C81" s="3"/>
      <c r="D81" s="8"/>
      <c r="E81" s="15"/>
    </row>
    <row r="82" spans="1:5" x14ac:dyDescent="0.25">
      <c r="A82" s="7" t="s">
        <v>71</v>
      </c>
      <c r="B82" s="3"/>
      <c r="C82" s="3"/>
      <c r="D82" s="8"/>
      <c r="E82" s="15"/>
    </row>
    <row r="83" spans="1:5" x14ac:dyDescent="0.25">
      <c r="A83" s="7" t="s">
        <v>64</v>
      </c>
      <c r="B83" s="3"/>
      <c r="C83" s="3"/>
      <c r="D83" s="8"/>
      <c r="E83" s="15"/>
    </row>
    <row r="84" spans="1:5" x14ac:dyDescent="0.25">
      <c r="A84" s="7" t="s">
        <v>75</v>
      </c>
      <c r="B84" s="3"/>
      <c r="C84" s="3"/>
      <c r="D84" s="8"/>
      <c r="E84" s="15"/>
    </row>
    <row r="85" spans="1:5" x14ac:dyDescent="0.25">
      <c r="A85" s="7" t="s">
        <v>66</v>
      </c>
      <c r="B85" s="3"/>
      <c r="C85" s="3"/>
      <c r="D85" s="8"/>
      <c r="E85" s="15"/>
    </row>
    <row r="86" spans="1:5" x14ac:dyDescent="0.25">
      <c r="A86" s="7" t="s">
        <v>72</v>
      </c>
      <c r="B86" s="3"/>
      <c r="C86" s="3"/>
      <c r="D86" s="8"/>
      <c r="E86" s="15"/>
    </row>
    <row r="87" spans="1:5" x14ac:dyDescent="0.25">
      <c r="A87" s="7" t="s">
        <v>88</v>
      </c>
      <c r="B87" s="12">
        <v>34722689620</v>
      </c>
      <c r="C87" s="12">
        <v>26991189620</v>
      </c>
      <c r="D87" s="8">
        <v>3.3916166225377027</v>
      </c>
      <c r="E87" s="15">
        <v>130.86842105263159</v>
      </c>
    </row>
  </sheetData>
  <mergeCells count="1">
    <mergeCell ref="A1:G1"/>
  </mergeCell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C81E0-C106-4D39-8E9B-5C0CEDB4F46E}">
  <dimension ref="A1:M63"/>
  <sheetViews>
    <sheetView zoomScale="70" zoomScaleNormal="70" workbookViewId="0"/>
  </sheetViews>
  <sheetFormatPr defaultRowHeight="15" x14ac:dyDescent="0.25"/>
  <cols>
    <col min="1" max="1" width="45.5703125" bestFit="1" customWidth="1"/>
    <col min="2" max="2" width="13.42578125" bestFit="1" customWidth="1"/>
    <col min="3" max="3" width="14.85546875" bestFit="1" customWidth="1"/>
    <col min="4" max="4" width="16.140625" bestFit="1" customWidth="1"/>
    <col min="5" max="5" width="17.5703125" bestFit="1" customWidth="1"/>
    <col min="6" max="6" width="17.42578125" bestFit="1" customWidth="1"/>
    <col min="7" max="7" width="20.5703125" bestFit="1" customWidth="1"/>
    <col min="8" max="8" width="19.85546875" bestFit="1" customWidth="1"/>
    <col min="9" max="9" width="22.28515625" bestFit="1" customWidth="1"/>
    <col min="10" max="10" width="23.140625" bestFit="1" customWidth="1"/>
    <col min="11" max="11" width="12.140625" bestFit="1" customWidth="1"/>
    <col min="12" max="12" width="12.7109375" bestFit="1" customWidth="1"/>
    <col min="13" max="14" width="13.7109375" bestFit="1" customWidth="1"/>
  </cols>
  <sheetData>
    <row r="1" spans="1:13" x14ac:dyDescent="0.25">
      <c r="A1" t="s">
        <v>0</v>
      </c>
      <c r="B1" t="s">
        <v>1</v>
      </c>
      <c r="C1" t="s">
        <v>2</v>
      </c>
      <c r="D1" t="s">
        <v>3</v>
      </c>
      <c r="E1" t="s">
        <v>4</v>
      </c>
      <c r="F1" t="s">
        <v>5</v>
      </c>
      <c r="G1" t="s">
        <v>6</v>
      </c>
      <c r="H1" t="s">
        <v>7</v>
      </c>
      <c r="I1" t="s">
        <v>8</v>
      </c>
      <c r="J1" t="s">
        <v>9</v>
      </c>
      <c r="K1" t="s">
        <v>92</v>
      </c>
      <c r="L1" t="s">
        <v>94</v>
      </c>
      <c r="M1" t="s">
        <v>93</v>
      </c>
    </row>
    <row r="2" spans="1:13" x14ac:dyDescent="0.25">
      <c r="A2" t="s">
        <v>10</v>
      </c>
      <c r="B2" t="s">
        <v>11</v>
      </c>
      <c r="C2" s="1">
        <v>39570</v>
      </c>
      <c r="D2">
        <v>94</v>
      </c>
      <c r="E2">
        <v>91</v>
      </c>
      <c r="F2">
        <v>126</v>
      </c>
      <c r="G2">
        <v>140000000</v>
      </c>
      <c r="H2">
        <v>102118668</v>
      </c>
      <c r="I2">
        <v>319034126</v>
      </c>
      <c r="J2">
        <v>585796247</v>
      </c>
      <c r="K2">
        <v>445796247</v>
      </c>
      <c r="L2">
        <v>3.1842589071428571</v>
      </c>
      <c r="M2" t="s">
        <v>97</v>
      </c>
    </row>
    <row r="3" spans="1:13" x14ac:dyDescent="0.25">
      <c r="A3" t="s">
        <v>12</v>
      </c>
      <c r="B3" t="s">
        <v>11</v>
      </c>
      <c r="C3" s="1">
        <v>39612</v>
      </c>
      <c r="D3">
        <v>67</v>
      </c>
      <c r="E3">
        <v>70</v>
      </c>
      <c r="F3">
        <v>112</v>
      </c>
      <c r="G3">
        <v>137500000</v>
      </c>
      <c r="H3">
        <v>55414050</v>
      </c>
      <c r="I3">
        <v>134806913</v>
      </c>
      <c r="J3">
        <v>265573859</v>
      </c>
      <c r="K3">
        <v>128073859</v>
      </c>
      <c r="L3">
        <v>0.93144624727272729</v>
      </c>
      <c r="M3" t="s">
        <v>97</v>
      </c>
    </row>
    <row r="4" spans="1:13" x14ac:dyDescent="0.25">
      <c r="A4" t="s">
        <v>13</v>
      </c>
      <c r="B4" t="s">
        <v>11</v>
      </c>
      <c r="C4" s="1">
        <v>40305</v>
      </c>
      <c r="D4">
        <v>72</v>
      </c>
      <c r="E4">
        <v>71</v>
      </c>
      <c r="F4">
        <v>124</v>
      </c>
      <c r="G4">
        <v>200000000</v>
      </c>
      <c r="H4">
        <v>128122480</v>
      </c>
      <c r="I4">
        <v>312433331</v>
      </c>
      <c r="J4">
        <v>621156389</v>
      </c>
      <c r="K4">
        <v>421156389</v>
      </c>
      <c r="L4">
        <v>2.1057819449999999</v>
      </c>
      <c r="M4" t="s">
        <v>97</v>
      </c>
    </row>
    <row r="5" spans="1:13" x14ac:dyDescent="0.25">
      <c r="A5" t="s">
        <v>14</v>
      </c>
      <c r="B5" t="s">
        <v>11</v>
      </c>
      <c r="C5" s="1">
        <v>40669</v>
      </c>
      <c r="D5">
        <v>77</v>
      </c>
      <c r="E5">
        <v>76</v>
      </c>
      <c r="F5">
        <v>114</v>
      </c>
      <c r="G5">
        <v>150000000</v>
      </c>
      <c r="H5">
        <v>65723338</v>
      </c>
      <c r="I5">
        <v>181030624</v>
      </c>
      <c r="J5">
        <v>449326618</v>
      </c>
      <c r="K5">
        <v>299326618</v>
      </c>
      <c r="L5">
        <v>1.9955107866666666</v>
      </c>
      <c r="M5" t="s">
        <v>97</v>
      </c>
    </row>
    <row r="6" spans="1:13" x14ac:dyDescent="0.25">
      <c r="A6" t="s">
        <v>15</v>
      </c>
      <c r="B6" t="s">
        <v>11</v>
      </c>
      <c r="C6" s="1">
        <v>40746</v>
      </c>
      <c r="D6">
        <v>80</v>
      </c>
      <c r="E6">
        <v>75</v>
      </c>
      <c r="F6">
        <v>124</v>
      </c>
      <c r="G6">
        <v>140000000</v>
      </c>
      <c r="H6">
        <v>65058524</v>
      </c>
      <c r="I6">
        <v>176654505</v>
      </c>
      <c r="J6">
        <v>370569774</v>
      </c>
      <c r="K6">
        <v>230569774</v>
      </c>
      <c r="L6">
        <v>1.6469269571428571</v>
      </c>
      <c r="M6" t="s">
        <v>97</v>
      </c>
    </row>
    <row r="7" spans="1:13" x14ac:dyDescent="0.25">
      <c r="A7" t="s">
        <v>16</v>
      </c>
      <c r="B7" t="s">
        <v>11</v>
      </c>
      <c r="C7" s="1">
        <v>41033</v>
      </c>
      <c r="D7">
        <v>91</v>
      </c>
      <c r="E7">
        <v>91</v>
      </c>
      <c r="F7">
        <v>143</v>
      </c>
      <c r="G7">
        <v>220000000</v>
      </c>
      <c r="H7">
        <v>207438708</v>
      </c>
      <c r="I7">
        <v>623357910</v>
      </c>
      <c r="J7">
        <v>1518812988</v>
      </c>
      <c r="K7">
        <v>1298812988</v>
      </c>
      <c r="L7">
        <v>5.9036954000000001</v>
      </c>
      <c r="M7" t="s">
        <v>97</v>
      </c>
    </row>
    <row r="8" spans="1:13" x14ac:dyDescent="0.25">
      <c r="A8" t="s">
        <v>17</v>
      </c>
      <c r="B8" t="s">
        <v>18</v>
      </c>
      <c r="C8" s="1">
        <v>41397</v>
      </c>
      <c r="D8">
        <v>79</v>
      </c>
      <c r="E8">
        <v>78</v>
      </c>
      <c r="F8">
        <v>130</v>
      </c>
      <c r="G8">
        <v>200000000</v>
      </c>
      <c r="H8">
        <v>174144585</v>
      </c>
      <c r="I8">
        <v>409013994</v>
      </c>
      <c r="J8">
        <v>1214811252</v>
      </c>
      <c r="K8">
        <v>1014811252</v>
      </c>
      <c r="L8">
        <v>5.0740562599999999</v>
      </c>
      <c r="M8" t="s">
        <v>97</v>
      </c>
    </row>
    <row r="9" spans="1:13" x14ac:dyDescent="0.25">
      <c r="A9" t="s">
        <v>19</v>
      </c>
      <c r="B9" t="s">
        <v>18</v>
      </c>
      <c r="C9" s="1">
        <v>41586</v>
      </c>
      <c r="D9">
        <v>66</v>
      </c>
      <c r="E9">
        <v>75</v>
      </c>
      <c r="F9">
        <v>112</v>
      </c>
      <c r="G9">
        <v>170000000</v>
      </c>
      <c r="H9">
        <v>85737841</v>
      </c>
      <c r="I9">
        <v>206362140</v>
      </c>
      <c r="J9">
        <v>644602516</v>
      </c>
      <c r="K9">
        <v>474602516</v>
      </c>
      <c r="L9">
        <v>2.7917795058823529</v>
      </c>
      <c r="M9" t="s">
        <v>97</v>
      </c>
    </row>
    <row r="10" spans="1:13" x14ac:dyDescent="0.25">
      <c r="A10" t="s">
        <v>20</v>
      </c>
      <c r="B10" t="s">
        <v>18</v>
      </c>
      <c r="C10" s="1">
        <v>41733</v>
      </c>
      <c r="D10">
        <v>90</v>
      </c>
      <c r="E10">
        <v>92</v>
      </c>
      <c r="F10">
        <v>136</v>
      </c>
      <c r="G10">
        <v>170000000</v>
      </c>
      <c r="H10">
        <v>95023721</v>
      </c>
      <c r="I10">
        <v>259766572</v>
      </c>
      <c r="J10">
        <v>714421503</v>
      </c>
      <c r="K10">
        <v>544421503</v>
      </c>
      <c r="L10">
        <v>3.2024794294117647</v>
      </c>
      <c r="M10" t="s">
        <v>97</v>
      </c>
    </row>
    <row r="11" spans="1:13" x14ac:dyDescent="0.25">
      <c r="A11" t="s">
        <v>21</v>
      </c>
      <c r="B11" t="s">
        <v>18</v>
      </c>
      <c r="C11" s="1">
        <v>41852</v>
      </c>
      <c r="D11">
        <v>91</v>
      </c>
      <c r="E11">
        <v>92</v>
      </c>
      <c r="F11">
        <v>121</v>
      </c>
      <c r="G11">
        <v>170000000</v>
      </c>
      <c r="H11">
        <v>94307658</v>
      </c>
      <c r="I11">
        <v>333176600</v>
      </c>
      <c r="J11">
        <v>773350147</v>
      </c>
      <c r="K11">
        <v>603350147</v>
      </c>
      <c r="L11">
        <v>3.5491185117647057</v>
      </c>
      <c r="M11" t="s">
        <v>97</v>
      </c>
    </row>
    <row r="12" spans="1:13" x14ac:dyDescent="0.25">
      <c r="A12" t="s">
        <v>22</v>
      </c>
      <c r="B12" t="s">
        <v>18</v>
      </c>
      <c r="C12" s="1">
        <v>42125</v>
      </c>
      <c r="D12">
        <v>76</v>
      </c>
      <c r="E12">
        <v>82</v>
      </c>
      <c r="F12">
        <v>141</v>
      </c>
      <c r="G12">
        <v>365000000</v>
      </c>
      <c r="H12">
        <v>191271109</v>
      </c>
      <c r="I12">
        <v>459005868</v>
      </c>
      <c r="J12">
        <v>1395316979</v>
      </c>
      <c r="K12">
        <v>1030316979</v>
      </c>
      <c r="L12">
        <v>2.8227862438356164</v>
      </c>
      <c r="M12" t="s">
        <v>97</v>
      </c>
    </row>
    <row r="13" spans="1:13" x14ac:dyDescent="0.25">
      <c r="A13" t="s">
        <v>23</v>
      </c>
      <c r="B13" t="s">
        <v>18</v>
      </c>
      <c r="C13" s="1">
        <v>42202</v>
      </c>
      <c r="D13">
        <v>83</v>
      </c>
      <c r="E13">
        <v>85</v>
      </c>
      <c r="F13">
        <v>117</v>
      </c>
      <c r="G13">
        <v>130000000</v>
      </c>
      <c r="H13">
        <v>57225526</v>
      </c>
      <c r="I13">
        <v>180202163</v>
      </c>
      <c r="J13">
        <v>519311965</v>
      </c>
      <c r="K13">
        <v>389311965</v>
      </c>
      <c r="L13">
        <v>2.9947074230769233</v>
      </c>
      <c r="M13" t="s">
        <v>97</v>
      </c>
    </row>
    <row r="14" spans="1:13" x14ac:dyDescent="0.25">
      <c r="A14" t="s">
        <v>24</v>
      </c>
      <c r="B14" t="s">
        <v>25</v>
      </c>
      <c r="C14" s="1">
        <v>42496</v>
      </c>
      <c r="D14">
        <v>90</v>
      </c>
      <c r="E14">
        <v>89</v>
      </c>
      <c r="F14">
        <v>147</v>
      </c>
      <c r="G14">
        <v>250000000</v>
      </c>
      <c r="H14">
        <v>179139142</v>
      </c>
      <c r="I14">
        <v>408084349</v>
      </c>
      <c r="J14">
        <v>1153296293</v>
      </c>
      <c r="K14">
        <v>903296293</v>
      </c>
      <c r="L14">
        <v>3.6131851720000001</v>
      </c>
      <c r="M14" t="s">
        <v>97</v>
      </c>
    </row>
    <row r="15" spans="1:13" x14ac:dyDescent="0.25">
      <c r="A15" t="s">
        <v>26</v>
      </c>
      <c r="B15" t="s">
        <v>25</v>
      </c>
      <c r="C15" s="1">
        <v>42678</v>
      </c>
      <c r="D15">
        <v>89</v>
      </c>
      <c r="E15">
        <v>86</v>
      </c>
      <c r="F15">
        <v>115</v>
      </c>
      <c r="G15">
        <v>165000000</v>
      </c>
      <c r="H15">
        <v>85158311</v>
      </c>
      <c r="I15">
        <v>232641920</v>
      </c>
      <c r="J15">
        <v>677796076</v>
      </c>
      <c r="K15">
        <v>512796076</v>
      </c>
      <c r="L15">
        <v>3.1078550060606061</v>
      </c>
      <c r="M15" t="s">
        <v>97</v>
      </c>
    </row>
    <row r="16" spans="1:13" x14ac:dyDescent="0.25">
      <c r="A16" t="s">
        <v>27</v>
      </c>
      <c r="B16" t="s">
        <v>25</v>
      </c>
      <c r="C16" s="1">
        <v>42860</v>
      </c>
      <c r="D16">
        <v>85</v>
      </c>
      <c r="E16">
        <v>87</v>
      </c>
      <c r="F16">
        <v>136</v>
      </c>
      <c r="G16">
        <v>200000000</v>
      </c>
      <c r="H16">
        <v>146510104</v>
      </c>
      <c r="I16">
        <v>389813101</v>
      </c>
      <c r="J16">
        <v>869122246</v>
      </c>
      <c r="K16">
        <v>669122246</v>
      </c>
      <c r="L16">
        <v>3.3456112299999998</v>
      </c>
      <c r="M16" t="s">
        <v>97</v>
      </c>
    </row>
    <row r="17" spans="1:13" x14ac:dyDescent="0.25">
      <c r="A17" t="s">
        <v>28</v>
      </c>
      <c r="B17" t="s">
        <v>25</v>
      </c>
      <c r="C17" s="1">
        <v>42923</v>
      </c>
      <c r="D17">
        <v>92</v>
      </c>
      <c r="E17">
        <v>87</v>
      </c>
      <c r="F17">
        <v>133</v>
      </c>
      <c r="G17">
        <v>175000000</v>
      </c>
      <c r="H17">
        <v>117027503</v>
      </c>
      <c r="I17">
        <v>334201140</v>
      </c>
      <c r="J17">
        <v>880166924</v>
      </c>
      <c r="K17">
        <v>705166924</v>
      </c>
      <c r="L17">
        <v>4.0295252799999997</v>
      </c>
      <c r="M17" t="s">
        <v>97</v>
      </c>
    </row>
    <row r="18" spans="1:13" x14ac:dyDescent="0.25">
      <c r="A18" t="s">
        <v>82</v>
      </c>
      <c r="B18" t="s">
        <v>25</v>
      </c>
      <c r="C18" s="1">
        <v>43042</v>
      </c>
      <c r="D18">
        <v>93</v>
      </c>
      <c r="E18">
        <v>87</v>
      </c>
      <c r="F18">
        <v>130</v>
      </c>
      <c r="G18">
        <v>180000000</v>
      </c>
      <c r="H18">
        <v>122744989</v>
      </c>
      <c r="I18">
        <v>315058289</v>
      </c>
      <c r="J18">
        <v>855301806</v>
      </c>
      <c r="K18">
        <v>675301806</v>
      </c>
      <c r="L18">
        <v>3.7516767</v>
      </c>
      <c r="M18" t="s">
        <v>97</v>
      </c>
    </row>
    <row r="19" spans="1:13" x14ac:dyDescent="0.25">
      <c r="A19" t="s">
        <v>29</v>
      </c>
      <c r="B19" t="s">
        <v>25</v>
      </c>
      <c r="C19" s="1">
        <v>43147</v>
      </c>
      <c r="D19">
        <v>96</v>
      </c>
      <c r="E19">
        <v>79</v>
      </c>
      <c r="F19">
        <v>134</v>
      </c>
      <c r="G19">
        <v>200000000</v>
      </c>
      <c r="H19">
        <v>202003951</v>
      </c>
      <c r="I19">
        <v>700426566</v>
      </c>
      <c r="J19">
        <v>1353282444</v>
      </c>
      <c r="K19">
        <v>1153282444</v>
      </c>
      <c r="L19">
        <v>5.7664122200000003</v>
      </c>
      <c r="M19" t="s">
        <v>97</v>
      </c>
    </row>
    <row r="20" spans="1:13" x14ac:dyDescent="0.25">
      <c r="A20" t="s">
        <v>30</v>
      </c>
      <c r="B20" t="s">
        <v>25</v>
      </c>
      <c r="C20" s="1">
        <v>43217</v>
      </c>
      <c r="D20">
        <v>85</v>
      </c>
      <c r="E20">
        <v>91</v>
      </c>
      <c r="F20">
        <v>149</v>
      </c>
      <c r="G20">
        <v>325000000</v>
      </c>
      <c r="H20">
        <v>257698183</v>
      </c>
      <c r="I20">
        <v>678815482</v>
      </c>
      <c r="J20">
        <v>2052415039</v>
      </c>
      <c r="K20">
        <v>1727415039</v>
      </c>
      <c r="L20">
        <v>5.3151231969230768</v>
      </c>
      <c r="M20" t="s">
        <v>97</v>
      </c>
    </row>
    <row r="21" spans="1:13" x14ac:dyDescent="0.25">
      <c r="A21" t="s">
        <v>31</v>
      </c>
      <c r="B21" t="s">
        <v>25</v>
      </c>
      <c r="C21" s="1">
        <v>43287</v>
      </c>
      <c r="D21">
        <v>87</v>
      </c>
      <c r="E21">
        <v>80</v>
      </c>
      <c r="F21">
        <v>118</v>
      </c>
      <c r="G21">
        <v>162000000</v>
      </c>
      <c r="H21">
        <v>75812205</v>
      </c>
      <c r="I21">
        <v>216648740</v>
      </c>
      <c r="J21">
        <v>622674139</v>
      </c>
      <c r="K21">
        <v>460674139</v>
      </c>
      <c r="L21">
        <v>2.8436675246913579</v>
      </c>
      <c r="M21" t="s">
        <v>97</v>
      </c>
    </row>
    <row r="22" spans="1:13" x14ac:dyDescent="0.25">
      <c r="A22" t="s">
        <v>32</v>
      </c>
      <c r="B22" t="s">
        <v>25</v>
      </c>
      <c r="C22" s="1">
        <v>43532</v>
      </c>
      <c r="D22">
        <v>79</v>
      </c>
      <c r="E22">
        <v>45</v>
      </c>
      <c r="F22">
        <v>123</v>
      </c>
      <c r="G22">
        <v>175000000</v>
      </c>
      <c r="H22">
        <v>153433423</v>
      </c>
      <c r="I22">
        <v>426829839</v>
      </c>
      <c r="J22">
        <v>1131934225</v>
      </c>
      <c r="K22">
        <v>956934225</v>
      </c>
      <c r="L22">
        <v>5.4681955714285717</v>
      </c>
      <c r="M22" t="s">
        <v>97</v>
      </c>
    </row>
    <row r="23" spans="1:13" x14ac:dyDescent="0.25">
      <c r="A23" t="s">
        <v>33</v>
      </c>
      <c r="B23" t="s">
        <v>25</v>
      </c>
      <c r="C23" s="1">
        <v>43581</v>
      </c>
      <c r="D23">
        <v>94</v>
      </c>
      <c r="E23">
        <v>90</v>
      </c>
      <c r="F23">
        <v>181</v>
      </c>
      <c r="G23">
        <v>356000000</v>
      </c>
      <c r="H23">
        <v>357115007</v>
      </c>
      <c r="I23">
        <v>858373000</v>
      </c>
      <c r="J23">
        <v>2799439100</v>
      </c>
      <c r="K23">
        <v>2443439100</v>
      </c>
      <c r="L23">
        <v>6.8635929775280902</v>
      </c>
      <c r="M23" t="s">
        <v>97</v>
      </c>
    </row>
    <row r="24" spans="1:13" x14ac:dyDescent="0.25">
      <c r="A24" t="s">
        <v>34</v>
      </c>
      <c r="B24" t="s">
        <v>25</v>
      </c>
      <c r="C24" s="1">
        <v>43648</v>
      </c>
      <c r="D24">
        <v>91</v>
      </c>
      <c r="E24">
        <v>95</v>
      </c>
      <c r="F24">
        <v>129</v>
      </c>
      <c r="G24">
        <v>160000000</v>
      </c>
      <c r="H24">
        <v>92579212</v>
      </c>
      <c r="I24">
        <v>390532085</v>
      </c>
      <c r="J24">
        <v>1131927996</v>
      </c>
      <c r="K24">
        <v>971927996</v>
      </c>
      <c r="L24">
        <v>6.074549975</v>
      </c>
      <c r="M24" t="s">
        <v>97</v>
      </c>
    </row>
    <row r="25" spans="1:13" x14ac:dyDescent="0.25">
      <c r="A25" t="s">
        <v>35</v>
      </c>
      <c r="B25" t="s">
        <v>36</v>
      </c>
      <c r="C25" s="1">
        <v>44386</v>
      </c>
      <c r="D25">
        <v>79</v>
      </c>
      <c r="E25">
        <v>91</v>
      </c>
      <c r="F25">
        <v>134</v>
      </c>
      <c r="G25">
        <v>200000000</v>
      </c>
      <c r="H25">
        <v>80366312</v>
      </c>
      <c r="I25">
        <v>183651655</v>
      </c>
      <c r="J25">
        <v>379751655</v>
      </c>
      <c r="K25">
        <v>179751655</v>
      </c>
      <c r="L25">
        <v>0.89875827500000005</v>
      </c>
      <c r="M25" t="s">
        <v>97</v>
      </c>
    </row>
    <row r="26" spans="1:13" x14ac:dyDescent="0.25">
      <c r="A26" t="s">
        <v>37</v>
      </c>
      <c r="B26" t="s">
        <v>36</v>
      </c>
      <c r="C26" s="1">
        <v>44442</v>
      </c>
      <c r="D26">
        <v>92</v>
      </c>
      <c r="E26">
        <v>98</v>
      </c>
      <c r="F26">
        <v>132</v>
      </c>
      <c r="G26">
        <v>150000000</v>
      </c>
      <c r="H26">
        <v>75388688</v>
      </c>
      <c r="I26">
        <v>224543292</v>
      </c>
      <c r="J26">
        <v>432243292</v>
      </c>
      <c r="K26">
        <v>282243292</v>
      </c>
      <c r="L26">
        <v>1.8816219466666666</v>
      </c>
      <c r="M26" t="s">
        <v>97</v>
      </c>
    </row>
    <row r="27" spans="1:13" x14ac:dyDescent="0.25">
      <c r="A27" t="s">
        <v>83</v>
      </c>
      <c r="B27" t="s">
        <v>36</v>
      </c>
      <c r="C27" s="1">
        <v>44505</v>
      </c>
      <c r="D27">
        <v>47</v>
      </c>
      <c r="E27">
        <v>77</v>
      </c>
      <c r="F27">
        <v>156</v>
      </c>
      <c r="G27">
        <v>236000000</v>
      </c>
      <c r="H27">
        <v>71297219</v>
      </c>
      <c r="I27">
        <v>164870234</v>
      </c>
      <c r="J27">
        <v>402064899</v>
      </c>
      <c r="K27">
        <v>166064899</v>
      </c>
      <c r="L27">
        <v>0.70366482627118643</v>
      </c>
      <c r="M27" t="s">
        <v>97</v>
      </c>
    </row>
    <row r="28" spans="1:13" x14ac:dyDescent="0.25">
      <c r="A28" t="s">
        <v>38</v>
      </c>
      <c r="B28" t="s">
        <v>36</v>
      </c>
      <c r="C28" s="1">
        <v>44547</v>
      </c>
      <c r="D28">
        <v>93</v>
      </c>
      <c r="E28">
        <v>97</v>
      </c>
      <c r="F28">
        <v>148</v>
      </c>
      <c r="G28">
        <v>200000000</v>
      </c>
      <c r="H28">
        <v>260138569</v>
      </c>
      <c r="I28">
        <v>804793477</v>
      </c>
      <c r="J28">
        <v>1922560366</v>
      </c>
      <c r="K28">
        <v>1722560366</v>
      </c>
      <c r="L28">
        <v>8.6128018300000004</v>
      </c>
      <c r="M28" t="s">
        <v>97</v>
      </c>
    </row>
    <row r="29" spans="1:13" x14ac:dyDescent="0.25">
      <c r="A29" t="s">
        <v>39</v>
      </c>
      <c r="B29" t="s">
        <v>36</v>
      </c>
      <c r="C29" s="1">
        <v>44687</v>
      </c>
      <c r="D29">
        <v>73</v>
      </c>
      <c r="E29">
        <v>85</v>
      </c>
      <c r="F29">
        <v>126</v>
      </c>
      <c r="G29">
        <v>200000000</v>
      </c>
      <c r="H29">
        <v>187420998</v>
      </c>
      <c r="I29">
        <v>411331607</v>
      </c>
      <c r="J29">
        <v>955775804</v>
      </c>
      <c r="K29">
        <v>755775804</v>
      </c>
      <c r="L29">
        <v>3.7788790200000002</v>
      </c>
      <c r="M29" t="s">
        <v>97</v>
      </c>
    </row>
    <row r="30" spans="1:13" x14ac:dyDescent="0.25">
      <c r="A30" t="s">
        <v>40</v>
      </c>
      <c r="B30" t="s">
        <v>36</v>
      </c>
      <c r="C30" s="1">
        <v>44750</v>
      </c>
      <c r="D30">
        <v>63</v>
      </c>
      <c r="E30">
        <v>76</v>
      </c>
      <c r="F30">
        <v>118</v>
      </c>
      <c r="G30">
        <v>250000000</v>
      </c>
      <c r="H30">
        <v>144165107</v>
      </c>
      <c r="I30">
        <v>343256830</v>
      </c>
      <c r="J30">
        <v>760928081</v>
      </c>
      <c r="K30">
        <v>510928081</v>
      </c>
      <c r="L30">
        <v>2.0437123239999999</v>
      </c>
      <c r="M30" t="s">
        <v>97</v>
      </c>
    </row>
    <row r="31" spans="1:13" x14ac:dyDescent="0.25">
      <c r="A31" t="s">
        <v>41</v>
      </c>
      <c r="B31" t="s">
        <v>36</v>
      </c>
      <c r="C31" s="1">
        <v>44876</v>
      </c>
      <c r="D31">
        <v>84</v>
      </c>
      <c r="E31">
        <v>95</v>
      </c>
      <c r="F31">
        <v>161</v>
      </c>
      <c r="G31">
        <v>250000000</v>
      </c>
      <c r="H31">
        <v>181339761</v>
      </c>
      <c r="I31">
        <v>453829060</v>
      </c>
      <c r="J31">
        <v>859208836</v>
      </c>
      <c r="K31">
        <v>609208836</v>
      </c>
      <c r="L31">
        <v>2.4368353439999999</v>
      </c>
      <c r="M31" t="s">
        <v>97</v>
      </c>
    </row>
    <row r="32" spans="1:13" x14ac:dyDescent="0.25">
      <c r="A32" t="s">
        <v>42</v>
      </c>
      <c r="B32" t="s">
        <v>43</v>
      </c>
      <c r="C32" s="1">
        <v>44974</v>
      </c>
      <c r="D32">
        <v>46</v>
      </c>
      <c r="E32">
        <v>82</v>
      </c>
      <c r="F32">
        <v>125</v>
      </c>
      <c r="G32">
        <v>200000000</v>
      </c>
      <c r="H32">
        <v>106109650</v>
      </c>
      <c r="I32">
        <v>214504909</v>
      </c>
      <c r="J32">
        <v>476071180</v>
      </c>
      <c r="K32">
        <v>276071180</v>
      </c>
      <c r="L32">
        <v>1.3803559000000001</v>
      </c>
      <c r="M32" t="s">
        <v>97</v>
      </c>
    </row>
    <row r="33" spans="1:13" x14ac:dyDescent="0.25">
      <c r="A33" t="s">
        <v>44</v>
      </c>
      <c r="B33" t="s">
        <v>43</v>
      </c>
      <c r="C33" s="1">
        <v>45051</v>
      </c>
      <c r="D33">
        <v>82</v>
      </c>
      <c r="E33">
        <v>94</v>
      </c>
      <c r="F33">
        <v>150</v>
      </c>
      <c r="G33">
        <v>250000000</v>
      </c>
      <c r="H33">
        <v>118414021</v>
      </c>
      <c r="I33">
        <v>358995815</v>
      </c>
      <c r="J33">
        <v>845555777</v>
      </c>
      <c r="K33">
        <v>595555777</v>
      </c>
      <c r="L33">
        <v>2.3822231079999998</v>
      </c>
      <c r="M33" t="s">
        <v>97</v>
      </c>
    </row>
    <row r="34" spans="1:13" x14ac:dyDescent="0.25">
      <c r="A34" t="s">
        <v>45</v>
      </c>
      <c r="B34" t="s">
        <v>43</v>
      </c>
      <c r="C34" s="1">
        <v>45240</v>
      </c>
      <c r="D34">
        <v>62</v>
      </c>
      <c r="E34">
        <v>80</v>
      </c>
      <c r="F34">
        <v>105</v>
      </c>
      <c r="G34">
        <v>270000000</v>
      </c>
      <c r="H34">
        <v>46110859</v>
      </c>
      <c r="I34">
        <v>84500223</v>
      </c>
      <c r="J34">
        <v>206136825</v>
      </c>
      <c r="K34">
        <v>-63863175</v>
      </c>
      <c r="L34">
        <v>-0.23653027777777777</v>
      </c>
      <c r="M34" t="s">
        <v>97</v>
      </c>
    </row>
    <row r="35" spans="1:13" x14ac:dyDescent="0.25">
      <c r="A35" t="s">
        <v>46</v>
      </c>
      <c r="B35" t="s">
        <v>43</v>
      </c>
      <c r="C35" s="1">
        <v>45499</v>
      </c>
      <c r="D35">
        <v>77</v>
      </c>
      <c r="E35">
        <v>94</v>
      </c>
      <c r="F35">
        <v>128</v>
      </c>
      <c r="G35">
        <v>200000000</v>
      </c>
      <c r="H35">
        <v>211435291</v>
      </c>
      <c r="I35">
        <v>636745858</v>
      </c>
      <c r="J35">
        <v>1338073645</v>
      </c>
      <c r="K35">
        <v>1138073645</v>
      </c>
      <c r="L35">
        <v>5.6903682250000003</v>
      </c>
      <c r="M35" t="s">
        <v>97</v>
      </c>
    </row>
    <row r="36" spans="1:13" x14ac:dyDescent="0.25">
      <c r="A36" t="s">
        <v>47</v>
      </c>
      <c r="B36" t="s">
        <v>43</v>
      </c>
      <c r="C36" s="1">
        <v>45702</v>
      </c>
      <c r="D36">
        <v>48</v>
      </c>
      <c r="E36">
        <v>78</v>
      </c>
      <c r="F36">
        <v>118</v>
      </c>
      <c r="G36">
        <v>180000000</v>
      </c>
      <c r="H36">
        <v>88842603</v>
      </c>
      <c r="I36">
        <v>200500001</v>
      </c>
      <c r="J36">
        <v>415101577</v>
      </c>
      <c r="K36">
        <v>235101577</v>
      </c>
      <c r="L36">
        <v>1.3061198722222223</v>
      </c>
      <c r="M36" t="s">
        <v>97</v>
      </c>
    </row>
    <row r="37" spans="1:13" x14ac:dyDescent="0.25">
      <c r="A37" t="s">
        <v>48</v>
      </c>
      <c r="B37" t="s">
        <v>43</v>
      </c>
      <c r="C37" s="1">
        <v>45779</v>
      </c>
      <c r="D37">
        <v>88</v>
      </c>
      <c r="E37">
        <v>91</v>
      </c>
      <c r="F37">
        <v>127</v>
      </c>
      <c r="G37">
        <v>180000000</v>
      </c>
      <c r="H37">
        <v>74300608</v>
      </c>
      <c r="I37">
        <v>190274328</v>
      </c>
      <c r="J37">
        <v>382436917</v>
      </c>
      <c r="K37">
        <v>202436917</v>
      </c>
      <c r="L37">
        <v>1.1246495388888889</v>
      </c>
      <c r="M37" t="s">
        <v>97</v>
      </c>
    </row>
    <row r="38" spans="1:13" x14ac:dyDescent="0.25">
      <c r="A38" t="s">
        <v>49</v>
      </c>
      <c r="B38" t="s">
        <v>50</v>
      </c>
      <c r="C38" s="1">
        <v>45863</v>
      </c>
      <c r="D38">
        <v>86</v>
      </c>
      <c r="E38">
        <v>90</v>
      </c>
      <c r="F38">
        <v>114</v>
      </c>
      <c r="G38">
        <v>200000000</v>
      </c>
      <c r="H38">
        <v>117644828</v>
      </c>
      <c r="I38">
        <v>274286610</v>
      </c>
      <c r="J38">
        <v>521858728</v>
      </c>
      <c r="K38">
        <v>321858728</v>
      </c>
      <c r="L38">
        <v>1.60929364</v>
      </c>
      <c r="M38" t="s">
        <v>97</v>
      </c>
    </row>
    <row r="39" spans="1:13" x14ac:dyDescent="0.25">
      <c r="A39" t="s">
        <v>51</v>
      </c>
      <c r="B39" t="s">
        <v>50</v>
      </c>
      <c r="C39" s="1">
        <v>46234</v>
      </c>
      <c r="D39">
        <v>89</v>
      </c>
      <c r="E39">
        <v>93</v>
      </c>
      <c r="F39">
        <v>136</v>
      </c>
      <c r="G39">
        <v>225000000</v>
      </c>
      <c r="H39">
        <v>360091572</v>
      </c>
      <c r="I39">
        <v>858400177</v>
      </c>
      <c r="J39">
        <v>2224515513</v>
      </c>
      <c r="K39">
        <v>1999515513</v>
      </c>
      <c r="L39">
        <v>8.8867356133333342</v>
      </c>
      <c r="M39" t="s">
        <v>97</v>
      </c>
    </row>
    <row r="40" spans="1:13" x14ac:dyDescent="0.25">
      <c r="A40" t="s">
        <v>52</v>
      </c>
      <c r="B40" t="s">
        <v>36</v>
      </c>
      <c r="C40" s="1">
        <v>44211</v>
      </c>
      <c r="D40">
        <v>91</v>
      </c>
      <c r="E40">
        <v>88</v>
      </c>
      <c r="F40" t="s">
        <v>84</v>
      </c>
      <c r="L40" t="s">
        <v>84</v>
      </c>
      <c r="M40" t="s">
        <v>98</v>
      </c>
    </row>
    <row r="41" spans="1:13" x14ac:dyDescent="0.25">
      <c r="A41" t="s">
        <v>53</v>
      </c>
      <c r="B41" t="s">
        <v>36</v>
      </c>
      <c r="C41" s="1">
        <v>44274</v>
      </c>
      <c r="D41">
        <v>86</v>
      </c>
      <c r="E41">
        <v>81</v>
      </c>
      <c r="F41" t="s">
        <v>84</v>
      </c>
      <c r="L41" t="s">
        <v>84</v>
      </c>
      <c r="M41" t="s">
        <v>98</v>
      </c>
    </row>
    <row r="42" spans="1:13" x14ac:dyDescent="0.25">
      <c r="A42" t="s">
        <v>54</v>
      </c>
      <c r="B42" t="s">
        <v>36</v>
      </c>
      <c r="C42" s="1">
        <v>44356</v>
      </c>
      <c r="D42">
        <v>92</v>
      </c>
      <c r="E42">
        <v>90</v>
      </c>
      <c r="F42" t="s">
        <v>84</v>
      </c>
      <c r="L42" t="s">
        <v>84</v>
      </c>
      <c r="M42" t="s">
        <v>98</v>
      </c>
    </row>
    <row r="43" spans="1:13" x14ac:dyDescent="0.25">
      <c r="A43" t="s">
        <v>55</v>
      </c>
      <c r="B43" t="s">
        <v>36</v>
      </c>
      <c r="C43" s="1">
        <v>44419</v>
      </c>
      <c r="D43">
        <v>94</v>
      </c>
      <c r="E43">
        <v>93</v>
      </c>
      <c r="F43" t="s">
        <v>84</v>
      </c>
      <c r="L43" t="s">
        <v>84</v>
      </c>
      <c r="M43" t="s">
        <v>98</v>
      </c>
    </row>
    <row r="44" spans="1:13" x14ac:dyDescent="0.25">
      <c r="A44" t="s">
        <v>56</v>
      </c>
      <c r="B44" t="s">
        <v>36</v>
      </c>
      <c r="C44" s="1">
        <v>44524</v>
      </c>
      <c r="D44">
        <v>92</v>
      </c>
      <c r="E44">
        <v>88</v>
      </c>
      <c r="F44" t="s">
        <v>84</v>
      </c>
      <c r="L44" t="s">
        <v>84</v>
      </c>
      <c r="M44" t="s">
        <v>98</v>
      </c>
    </row>
    <row r="45" spans="1:13" x14ac:dyDescent="0.25">
      <c r="A45" t="s">
        <v>57</v>
      </c>
      <c r="B45" t="s">
        <v>36</v>
      </c>
      <c r="C45" s="1">
        <v>44650</v>
      </c>
      <c r="D45">
        <v>86</v>
      </c>
      <c r="E45">
        <v>89</v>
      </c>
      <c r="F45" t="s">
        <v>84</v>
      </c>
      <c r="L45" t="s">
        <v>84</v>
      </c>
      <c r="M45" t="s">
        <v>98</v>
      </c>
    </row>
    <row r="46" spans="1:13" x14ac:dyDescent="0.25">
      <c r="A46" t="s">
        <v>58</v>
      </c>
      <c r="B46" t="s">
        <v>36</v>
      </c>
      <c r="C46" s="1">
        <v>44720</v>
      </c>
      <c r="D46">
        <v>98</v>
      </c>
      <c r="E46">
        <v>80</v>
      </c>
      <c r="F46" t="s">
        <v>84</v>
      </c>
      <c r="L46" t="s">
        <v>84</v>
      </c>
      <c r="M46" t="s">
        <v>98</v>
      </c>
    </row>
    <row r="47" spans="1:13" x14ac:dyDescent="0.25">
      <c r="A47" t="s">
        <v>59</v>
      </c>
      <c r="B47" t="s">
        <v>36</v>
      </c>
      <c r="C47" s="1">
        <v>44791</v>
      </c>
      <c r="D47">
        <v>77</v>
      </c>
      <c r="E47">
        <v>32</v>
      </c>
      <c r="F47" t="s">
        <v>84</v>
      </c>
      <c r="L47" t="s">
        <v>84</v>
      </c>
      <c r="M47" t="s">
        <v>98</v>
      </c>
    </row>
    <row r="48" spans="1:13" x14ac:dyDescent="0.25">
      <c r="A48" t="s">
        <v>60</v>
      </c>
      <c r="B48" t="s">
        <v>43</v>
      </c>
      <c r="C48" s="1">
        <v>45098</v>
      </c>
      <c r="D48">
        <v>53</v>
      </c>
      <c r="E48">
        <v>44</v>
      </c>
      <c r="F48" t="s">
        <v>84</v>
      </c>
      <c r="L48" t="s">
        <v>84</v>
      </c>
      <c r="M48" t="s">
        <v>98</v>
      </c>
    </row>
    <row r="49" spans="1:13" x14ac:dyDescent="0.25">
      <c r="A49" t="s">
        <v>61</v>
      </c>
      <c r="B49" t="s">
        <v>43</v>
      </c>
      <c r="C49" s="1">
        <v>45204</v>
      </c>
      <c r="D49">
        <v>82</v>
      </c>
      <c r="E49">
        <v>86</v>
      </c>
      <c r="F49" t="s">
        <v>84</v>
      </c>
      <c r="L49" t="s">
        <v>84</v>
      </c>
      <c r="M49" t="s">
        <v>98</v>
      </c>
    </row>
    <row r="50" spans="1:13" x14ac:dyDescent="0.25">
      <c r="A50" t="s">
        <v>62</v>
      </c>
      <c r="B50" t="s">
        <v>43</v>
      </c>
      <c r="C50" s="1">
        <v>45282</v>
      </c>
      <c r="D50">
        <v>87</v>
      </c>
      <c r="E50">
        <v>76</v>
      </c>
      <c r="F50" t="s">
        <v>84</v>
      </c>
      <c r="L50" t="s">
        <v>84</v>
      </c>
      <c r="M50" t="s">
        <v>98</v>
      </c>
    </row>
    <row r="51" spans="1:13" x14ac:dyDescent="0.25">
      <c r="A51" t="s">
        <v>63</v>
      </c>
      <c r="B51" t="s">
        <v>43</v>
      </c>
      <c r="C51" s="1">
        <v>45300</v>
      </c>
      <c r="D51">
        <v>70</v>
      </c>
      <c r="E51">
        <v>61</v>
      </c>
      <c r="F51" t="s">
        <v>84</v>
      </c>
      <c r="L51" t="s">
        <v>84</v>
      </c>
      <c r="M51" t="s">
        <v>98</v>
      </c>
    </row>
    <row r="52" spans="1:13" x14ac:dyDescent="0.25">
      <c r="A52" t="s">
        <v>64</v>
      </c>
      <c r="B52" t="s">
        <v>43</v>
      </c>
      <c r="C52" s="1">
        <v>45371</v>
      </c>
      <c r="D52">
        <v>99</v>
      </c>
      <c r="E52">
        <v>91</v>
      </c>
      <c r="F52" t="s">
        <v>84</v>
      </c>
      <c r="L52" t="s">
        <v>84</v>
      </c>
      <c r="M52" t="s">
        <v>98</v>
      </c>
    </row>
    <row r="53" spans="1:13" x14ac:dyDescent="0.25">
      <c r="A53" t="s">
        <v>65</v>
      </c>
      <c r="B53" t="s">
        <v>43</v>
      </c>
      <c r="C53" s="1">
        <v>45553</v>
      </c>
      <c r="D53">
        <v>83</v>
      </c>
      <c r="E53">
        <v>81</v>
      </c>
      <c r="F53" t="s">
        <v>84</v>
      </c>
      <c r="L53" t="s">
        <v>84</v>
      </c>
      <c r="M53" t="s">
        <v>98</v>
      </c>
    </row>
    <row r="54" spans="1:13" x14ac:dyDescent="0.25">
      <c r="A54" t="s">
        <v>66</v>
      </c>
      <c r="B54" t="s">
        <v>43</v>
      </c>
      <c r="C54" s="1">
        <v>45686</v>
      </c>
      <c r="D54">
        <v>97</v>
      </c>
      <c r="E54">
        <v>62</v>
      </c>
      <c r="F54" t="s">
        <v>84</v>
      </c>
      <c r="L54" t="s">
        <v>84</v>
      </c>
      <c r="M54" t="s">
        <v>98</v>
      </c>
    </row>
    <row r="55" spans="1:13" x14ac:dyDescent="0.25">
      <c r="A55" t="s">
        <v>67</v>
      </c>
      <c r="B55" t="s">
        <v>43</v>
      </c>
      <c r="C55" s="1">
        <v>45720</v>
      </c>
      <c r="D55">
        <v>86</v>
      </c>
      <c r="E55">
        <v>88</v>
      </c>
      <c r="F55" t="s">
        <v>84</v>
      </c>
      <c r="L55" t="s">
        <v>84</v>
      </c>
      <c r="M55" t="s">
        <v>98</v>
      </c>
    </row>
    <row r="56" spans="1:13" x14ac:dyDescent="0.25">
      <c r="A56" t="s">
        <v>68</v>
      </c>
      <c r="B56" t="s">
        <v>43</v>
      </c>
      <c r="C56" s="1">
        <v>45832</v>
      </c>
      <c r="D56">
        <v>76</v>
      </c>
      <c r="E56">
        <v>46</v>
      </c>
      <c r="F56" t="s">
        <v>84</v>
      </c>
      <c r="L56" t="s">
        <v>84</v>
      </c>
      <c r="M56" t="s">
        <v>98</v>
      </c>
    </row>
    <row r="57" spans="1:13" x14ac:dyDescent="0.25">
      <c r="A57" t="s">
        <v>69</v>
      </c>
      <c r="B57" t="s">
        <v>43</v>
      </c>
      <c r="C57" s="1">
        <v>45875</v>
      </c>
      <c r="D57">
        <v>92</v>
      </c>
      <c r="E57">
        <v>51</v>
      </c>
      <c r="F57" t="s">
        <v>84</v>
      </c>
      <c r="L57" t="s">
        <v>84</v>
      </c>
      <c r="M57" t="s">
        <v>98</v>
      </c>
    </row>
    <row r="58" spans="1:13" x14ac:dyDescent="0.25">
      <c r="A58" t="s">
        <v>70</v>
      </c>
      <c r="B58" t="s">
        <v>43</v>
      </c>
      <c r="C58" s="1">
        <v>45924</v>
      </c>
      <c r="D58">
        <v>67</v>
      </c>
      <c r="E58">
        <v>75</v>
      </c>
      <c r="F58" t="s">
        <v>84</v>
      </c>
      <c r="L58" t="s">
        <v>84</v>
      </c>
      <c r="M58" t="s">
        <v>98</v>
      </c>
    </row>
    <row r="59" spans="1:13" x14ac:dyDescent="0.25">
      <c r="A59" t="s">
        <v>71</v>
      </c>
      <c r="B59" t="s">
        <v>50</v>
      </c>
      <c r="C59" s="1">
        <v>46049</v>
      </c>
      <c r="D59">
        <v>91</v>
      </c>
      <c r="E59">
        <v>82</v>
      </c>
      <c r="F59" t="s">
        <v>84</v>
      </c>
      <c r="L59" t="s">
        <v>84</v>
      </c>
      <c r="M59" t="s">
        <v>98</v>
      </c>
    </row>
    <row r="60" spans="1:13" x14ac:dyDescent="0.25">
      <c r="A60" t="s">
        <v>72</v>
      </c>
      <c r="B60" t="s">
        <v>50</v>
      </c>
      <c r="C60" s="1">
        <v>46266</v>
      </c>
      <c r="D60">
        <v>95</v>
      </c>
      <c r="E60">
        <v>65</v>
      </c>
      <c r="F60" t="s">
        <v>84</v>
      </c>
      <c r="L60" t="s">
        <v>84</v>
      </c>
      <c r="M60" t="s">
        <v>98</v>
      </c>
    </row>
    <row r="61" spans="1:13" x14ac:dyDescent="0.25">
      <c r="A61" t="s">
        <v>73</v>
      </c>
      <c r="B61" t="s">
        <v>50</v>
      </c>
      <c r="C61" s="1">
        <v>46105</v>
      </c>
      <c r="D61">
        <v>90</v>
      </c>
      <c r="E61">
        <v>89</v>
      </c>
      <c r="F61" t="s">
        <v>84</v>
      </c>
      <c r="L61" t="s">
        <v>84</v>
      </c>
      <c r="M61" t="s">
        <v>98</v>
      </c>
    </row>
    <row r="62" spans="1:13" x14ac:dyDescent="0.25">
      <c r="A62" t="s">
        <v>74</v>
      </c>
      <c r="B62" t="s">
        <v>50</v>
      </c>
      <c r="C62" s="1">
        <v>46154</v>
      </c>
      <c r="D62">
        <v>87</v>
      </c>
      <c r="E62">
        <v>90</v>
      </c>
      <c r="F62" t="s">
        <v>84</v>
      </c>
      <c r="L62" t="s">
        <v>84</v>
      </c>
      <c r="M62" t="s">
        <v>98</v>
      </c>
    </row>
    <row r="63" spans="1:13" x14ac:dyDescent="0.25">
      <c r="A63" t="s">
        <v>75</v>
      </c>
      <c r="B63" t="s">
        <v>50</v>
      </c>
      <c r="C63" s="1">
        <v>46235</v>
      </c>
      <c r="D63">
        <v>96</v>
      </c>
      <c r="E63">
        <v>92</v>
      </c>
      <c r="F63" t="s">
        <v>84</v>
      </c>
      <c r="L63" t="s">
        <v>84</v>
      </c>
      <c r="M63" t="s">
        <v>98</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5618D-AF6C-4033-8C91-92B457F85956}">
  <dimension ref="A1:M63"/>
  <sheetViews>
    <sheetView topLeftCell="B1" zoomScale="90" zoomScaleNormal="90" workbookViewId="0"/>
  </sheetViews>
  <sheetFormatPr defaultRowHeight="15" x14ac:dyDescent="0.25"/>
  <cols>
    <col min="1" max="2" width="13.28515625" customWidth="1"/>
    <col min="3" max="3" width="14.7109375" customWidth="1"/>
    <col min="4" max="4" width="15.85546875" style="5" customWidth="1"/>
    <col min="5" max="5" width="17.28515625" style="5" customWidth="1"/>
    <col min="6" max="6" width="17.140625" customWidth="1"/>
    <col min="7" max="7" width="20.140625" style="2" customWidth="1"/>
    <col min="8" max="8" width="19.42578125" style="3" customWidth="1"/>
    <col min="9" max="9" width="21.85546875" style="3" customWidth="1"/>
    <col min="10" max="10" width="22.7109375" style="2" customWidth="1"/>
    <col min="11" max="11" width="18.5703125" style="3" customWidth="1"/>
    <col min="12" max="12" width="12.7109375" style="9" customWidth="1"/>
    <col min="13" max="13" width="14" customWidth="1"/>
  </cols>
  <sheetData>
    <row r="1" spans="1:13" x14ac:dyDescent="0.25">
      <c r="A1" t="s">
        <v>0</v>
      </c>
      <c r="B1" t="s">
        <v>1</v>
      </c>
      <c r="C1" t="s">
        <v>2</v>
      </c>
      <c r="D1" s="5" t="s">
        <v>3</v>
      </c>
      <c r="E1" s="5" t="s">
        <v>4</v>
      </c>
      <c r="F1" t="s">
        <v>5</v>
      </c>
      <c r="G1" s="2" t="s">
        <v>6</v>
      </c>
      <c r="H1" s="3" t="s">
        <v>7</v>
      </c>
      <c r="I1" s="3" t="s">
        <v>8</v>
      </c>
      <c r="J1" s="2" t="s">
        <v>9</v>
      </c>
      <c r="K1" s="3" t="s">
        <v>92</v>
      </c>
      <c r="L1" s="9" t="s">
        <v>94</v>
      </c>
      <c r="M1" t="s">
        <v>93</v>
      </c>
    </row>
    <row r="2" spans="1:13" x14ac:dyDescent="0.25">
      <c r="A2" t="s">
        <v>10</v>
      </c>
      <c r="B2" t="s">
        <v>11</v>
      </c>
      <c r="C2" s="1">
        <v>39570</v>
      </c>
      <c r="D2" s="5">
        <v>94</v>
      </c>
      <c r="E2" s="5">
        <v>91</v>
      </c>
      <c r="F2">
        <v>126</v>
      </c>
      <c r="G2" s="2">
        <v>140000000</v>
      </c>
      <c r="H2" s="3">
        <v>102118668</v>
      </c>
      <c r="I2" s="3">
        <v>319034126</v>
      </c>
      <c r="J2" s="2">
        <v>585796247</v>
      </c>
      <c r="K2" s="3">
        <f>IFERROR(Table1[[#This Row],[worldwide_box_office]]-Table1[[#This Row],[production_budget]],"null")</f>
        <v>445796247</v>
      </c>
      <c r="L2" s="9">
        <f>IFERROR(Table1[[#This Row],[net_profit]]/Table1[[#This Row],[production_budget]],"null")</f>
        <v>3.1842589071428571</v>
      </c>
      <c r="M2" s="3" t="str">
        <f>IF(Table1[[#This Row],[production_budget]]="null","TV Show","Movie")</f>
        <v>Movie</v>
      </c>
    </row>
    <row r="3" spans="1:13" x14ac:dyDescent="0.25">
      <c r="A3" t="s">
        <v>12</v>
      </c>
      <c r="B3" t="s">
        <v>11</v>
      </c>
      <c r="C3" s="1">
        <v>39612</v>
      </c>
      <c r="D3" s="5">
        <v>67</v>
      </c>
      <c r="E3" s="5">
        <v>70</v>
      </c>
      <c r="F3">
        <v>112</v>
      </c>
      <c r="G3" s="2">
        <v>137500000</v>
      </c>
      <c r="H3" s="3">
        <v>55414050</v>
      </c>
      <c r="I3" s="3">
        <v>134806913</v>
      </c>
      <c r="J3" s="2">
        <v>265573859</v>
      </c>
      <c r="K3" s="3">
        <f>IFERROR(Table1[[#This Row],[worldwide_box_office]]-Table1[[#This Row],[production_budget]],"null")</f>
        <v>128073859</v>
      </c>
      <c r="L3" s="9">
        <f>IFERROR(Table1[[#This Row],[net_profit]]/Table1[[#This Row],[production_budget]],"null")</f>
        <v>0.93144624727272729</v>
      </c>
      <c r="M3" s="3" t="str">
        <f>IF(Table1[[#This Row],[production_budget]]="null","TV Show","Movie")</f>
        <v>Movie</v>
      </c>
    </row>
    <row r="4" spans="1:13" x14ac:dyDescent="0.25">
      <c r="A4" t="s">
        <v>13</v>
      </c>
      <c r="B4" t="s">
        <v>11</v>
      </c>
      <c r="C4" s="1">
        <v>40305</v>
      </c>
      <c r="D4" s="5">
        <v>72</v>
      </c>
      <c r="E4" s="5">
        <v>71</v>
      </c>
      <c r="F4">
        <v>124</v>
      </c>
      <c r="G4" s="2">
        <v>200000000</v>
      </c>
      <c r="H4" s="3">
        <v>128122480</v>
      </c>
      <c r="I4" s="3">
        <v>312433331</v>
      </c>
      <c r="J4" s="2">
        <v>621156389</v>
      </c>
      <c r="K4" s="3">
        <f>IFERROR(Table1[[#This Row],[worldwide_box_office]]-Table1[[#This Row],[production_budget]],"null")</f>
        <v>421156389</v>
      </c>
      <c r="L4" s="9">
        <f>IFERROR(Table1[[#This Row],[net_profit]]/Table1[[#This Row],[production_budget]],"null")</f>
        <v>2.1057819449999999</v>
      </c>
      <c r="M4" s="3" t="str">
        <f>IF(Table1[[#This Row],[production_budget]]="null","TV Show","Movie")</f>
        <v>Movie</v>
      </c>
    </row>
    <row r="5" spans="1:13" x14ac:dyDescent="0.25">
      <c r="A5" t="s">
        <v>14</v>
      </c>
      <c r="B5" t="s">
        <v>11</v>
      </c>
      <c r="C5" s="1">
        <v>40669</v>
      </c>
      <c r="D5" s="5">
        <v>77</v>
      </c>
      <c r="E5" s="5">
        <v>76</v>
      </c>
      <c r="F5">
        <v>114</v>
      </c>
      <c r="G5" s="2">
        <v>150000000</v>
      </c>
      <c r="H5" s="3">
        <v>65723338</v>
      </c>
      <c r="I5" s="3">
        <v>181030624</v>
      </c>
      <c r="J5" s="2">
        <v>449326618</v>
      </c>
      <c r="K5" s="3">
        <f>IFERROR(Table1[[#This Row],[worldwide_box_office]]-Table1[[#This Row],[production_budget]],"null")</f>
        <v>299326618</v>
      </c>
      <c r="L5" s="9">
        <f>IFERROR(Table1[[#This Row],[net_profit]]/Table1[[#This Row],[production_budget]],"null")</f>
        <v>1.9955107866666666</v>
      </c>
      <c r="M5" s="3" t="str">
        <f>IF(Table1[[#This Row],[production_budget]]="null","TV Show","Movie")</f>
        <v>Movie</v>
      </c>
    </row>
    <row r="6" spans="1:13" x14ac:dyDescent="0.25">
      <c r="A6" t="s">
        <v>15</v>
      </c>
      <c r="B6" t="s">
        <v>11</v>
      </c>
      <c r="C6" s="1">
        <v>40746</v>
      </c>
      <c r="D6" s="5">
        <v>80</v>
      </c>
      <c r="E6" s="5">
        <v>75</v>
      </c>
      <c r="F6">
        <v>124</v>
      </c>
      <c r="G6" s="2">
        <v>140000000</v>
      </c>
      <c r="H6" s="3">
        <v>65058524</v>
      </c>
      <c r="I6" s="3">
        <v>176654505</v>
      </c>
      <c r="J6" s="2">
        <v>370569774</v>
      </c>
      <c r="K6" s="3">
        <f>IFERROR(Table1[[#This Row],[worldwide_box_office]]-Table1[[#This Row],[production_budget]],"null")</f>
        <v>230569774</v>
      </c>
      <c r="L6" s="9">
        <f>IFERROR(Table1[[#This Row],[net_profit]]/Table1[[#This Row],[production_budget]],"null")</f>
        <v>1.6469269571428571</v>
      </c>
      <c r="M6" s="3" t="str">
        <f>IF(Table1[[#This Row],[production_budget]]="null","TV Show","Movie")</f>
        <v>Movie</v>
      </c>
    </row>
    <row r="7" spans="1:13" x14ac:dyDescent="0.25">
      <c r="A7" t="s">
        <v>16</v>
      </c>
      <c r="B7" t="s">
        <v>11</v>
      </c>
      <c r="C7" s="1">
        <v>41033</v>
      </c>
      <c r="D7" s="5">
        <v>91</v>
      </c>
      <c r="E7" s="5">
        <v>91</v>
      </c>
      <c r="F7">
        <v>143</v>
      </c>
      <c r="G7" s="2">
        <v>220000000</v>
      </c>
      <c r="H7" s="3">
        <v>207438708</v>
      </c>
      <c r="I7" s="3">
        <v>623357910</v>
      </c>
      <c r="J7" s="2">
        <v>1518812988</v>
      </c>
      <c r="K7" s="3">
        <f>IFERROR(Table1[[#This Row],[worldwide_box_office]]-Table1[[#This Row],[production_budget]],"null")</f>
        <v>1298812988</v>
      </c>
      <c r="L7" s="9">
        <f>IFERROR(Table1[[#This Row],[net_profit]]/Table1[[#This Row],[production_budget]],"null")</f>
        <v>5.9036954000000001</v>
      </c>
      <c r="M7" s="3" t="str">
        <f>IF(Table1[[#This Row],[production_budget]]="null","TV Show","Movie")</f>
        <v>Movie</v>
      </c>
    </row>
    <row r="8" spans="1:13" x14ac:dyDescent="0.25">
      <c r="A8" t="s">
        <v>17</v>
      </c>
      <c r="B8" t="s">
        <v>18</v>
      </c>
      <c r="C8" s="1">
        <v>41397</v>
      </c>
      <c r="D8" s="5">
        <v>79</v>
      </c>
      <c r="E8" s="5">
        <v>78</v>
      </c>
      <c r="F8">
        <v>130</v>
      </c>
      <c r="G8" s="2">
        <v>200000000</v>
      </c>
      <c r="H8" s="3">
        <v>174144585</v>
      </c>
      <c r="I8" s="3">
        <v>409013994</v>
      </c>
      <c r="J8" s="2">
        <v>1214811252</v>
      </c>
      <c r="K8" s="3">
        <f>IFERROR(Table1[[#This Row],[worldwide_box_office]]-Table1[[#This Row],[production_budget]],"null")</f>
        <v>1014811252</v>
      </c>
      <c r="L8" s="9">
        <f>IFERROR(Table1[[#This Row],[net_profit]]/Table1[[#This Row],[production_budget]],"null")</f>
        <v>5.0740562599999999</v>
      </c>
      <c r="M8" s="3" t="str">
        <f>IF(Table1[[#This Row],[production_budget]]="null","TV Show","Movie")</f>
        <v>Movie</v>
      </c>
    </row>
    <row r="9" spans="1:13" x14ac:dyDescent="0.25">
      <c r="A9" t="s">
        <v>19</v>
      </c>
      <c r="B9" t="s">
        <v>18</v>
      </c>
      <c r="C9" s="1">
        <v>41586</v>
      </c>
      <c r="D9" s="5">
        <v>66</v>
      </c>
      <c r="E9" s="5">
        <v>75</v>
      </c>
      <c r="F9">
        <v>112</v>
      </c>
      <c r="G9" s="2">
        <v>170000000</v>
      </c>
      <c r="H9" s="3">
        <v>85737841</v>
      </c>
      <c r="I9" s="3">
        <v>206362140</v>
      </c>
      <c r="J9" s="2">
        <v>644602516</v>
      </c>
      <c r="K9" s="3">
        <f>IFERROR(Table1[[#This Row],[worldwide_box_office]]-Table1[[#This Row],[production_budget]],"null")</f>
        <v>474602516</v>
      </c>
      <c r="L9" s="9">
        <f>IFERROR(Table1[[#This Row],[net_profit]]/Table1[[#This Row],[production_budget]],"null")</f>
        <v>2.7917795058823529</v>
      </c>
      <c r="M9" s="3" t="str">
        <f>IF(Table1[[#This Row],[production_budget]]="null","TV Show","Movie")</f>
        <v>Movie</v>
      </c>
    </row>
    <row r="10" spans="1:13" x14ac:dyDescent="0.25">
      <c r="A10" t="s">
        <v>20</v>
      </c>
      <c r="B10" t="s">
        <v>18</v>
      </c>
      <c r="C10" s="1">
        <v>41733</v>
      </c>
      <c r="D10" s="5">
        <v>90</v>
      </c>
      <c r="E10" s="5">
        <v>92</v>
      </c>
      <c r="F10">
        <v>136</v>
      </c>
      <c r="G10" s="2">
        <v>170000000</v>
      </c>
      <c r="H10" s="3">
        <v>95023721</v>
      </c>
      <c r="I10" s="3">
        <v>259766572</v>
      </c>
      <c r="J10" s="2">
        <v>714421503</v>
      </c>
      <c r="K10" s="3">
        <f>IFERROR(Table1[[#This Row],[worldwide_box_office]]-Table1[[#This Row],[production_budget]],"null")</f>
        <v>544421503</v>
      </c>
      <c r="L10" s="9">
        <f>IFERROR(Table1[[#This Row],[net_profit]]/Table1[[#This Row],[production_budget]],"null")</f>
        <v>3.2024794294117647</v>
      </c>
      <c r="M10" s="3" t="str">
        <f>IF(Table1[[#This Row],[production_budget]]="null","TV Show","Movie")</f>
        <v>Movie</v>
      </c>
    </row>
    <row r="11" spans="1:13" x14ac:dyDescent="0.25">
      <c r="A11" t="s">
        <v>21</v>
      </c>
      <c r="B11" t="s">
        <v>18</v>
      </c>
      <c r="C11" s="1">
        <v>41852</v>
      </c>
      <c r="D11" s="5">
        <v>91</v>
      </c>
      <c r="E11" s="5">
        <v>92</v>
      </c>
      <c r="F11">
        <v>121</v>
      </c>
      <c r="G11" s="2">
        <v>170000000</v>
      </c>
      <c r="H11" s="3">
        <v>94307658</v>
      </c>
      <c r="I11" s="3">
        <v>333176600</v>
      </c>
      <c r="J11" s="2">
        <v>773350147</v>
      </c>
      <c r="K11" s="3">
        <f>IFERROR(Table1[[#This Row],[worldwide_box_office]]-Table1[[#This Row],[production_budget]],"null")</f>
        <v>603350147</v>
      </c>
      <c r="L11" s="9">
        <f>IFERROR(Table1[[#This Row],[net_profit]]/Table1[[#This Row],[production_budget]],"null")</f>
        <v>3.5491185117647057</v>
      </c>
      <c r="M11" s="3" t="str">
        <f>IF(Table1[[#This Row],[production_budget]]="null","TV Show","Movie")</f>
        <v>Movie</v>
      </c>
    </row>
    <row r="12" spans="1:13" x14ac:dyDescent="0.25">
      <c r="A12" t="s">
        <v>22</v>
      </c>
      <c r="B12" t="s">
        <v>18</v>
      </c>
      <c r="C12" s="1">
        <v>42125</v>
      </c>
      <c r="D12" s="5">
        <v>76</v>
      </c>
      <c r="E12" s="5">
        <v>82</v>
      </c>
      <c r="F12">
        <v>141</v>
      </c>
      <c r="G12" s="2">
        <v>365000000</v>
      </c>
      <c r="H12" s="3">
        <v>191271109</v>
      </c>
      <c r="I12" s="3">
        <v>459005868</v>
      </c>
      <c r="J12" s="2">
        <v>1395316979</v>
      </c>
      <c r="K12" s="3">
        <f>IFERROR(Table1[[#This Row],[worldwide_box_office]]-Table1[[#This Row],[production_budget]],"null")</f>
        <v>1030316979</v>
      </c>
      <c r="L12" s="9">
        <f>IFERROR(Table1[[#This Row],[net_profit]]/Table1[[#This Row],[production_budget]],"null")</f>
        <v>2.8227862438356164</v>
      </c>
      <c r="M12" s="3" t="str">
        <f>IF(Table1[[#This Row],[production_budget]]="null","TV Show","Movie")</f>
        <v>Movie</v>
      </c>
    </row>
    <row r="13" spans="1:13" x14ac:dyDescent="0.25">
      <c r="A13" t="s">
        <v>23</v>
      </c>
      <c r="B13" t="s">
        <v>18</v>
      </c>
      <c r="C13" s="1">
        <v>42202</v>
      </c>
      <c r="D13" s="5">
        <v>83</v>
      </c>
      <c r="E13" s="5">
        <v>85</v>
      </c>
      <c r="F13">
        <v>117</v>
      </c>
      <c r="G13" s="2">
        <v>130000000</v>
      </c>
      <c r="H13" s="3">
        <v>57225526</v>
      </c>
      <c r="I13" s="3">
        <v>180202163</v>
      </c>
      <c r="J13" s="2">
        <v>519311965</v>
      </c>
      <c r="K13" s="3">
        <f>IFERROR(Table1[[#This Row],[worldwide_box_office]]-Table1[[#This Row],[production_budget]],"null")</f>
        <v>389311965</v>
      </c>
      <c r="L13" s="9">
        <f>IFERROR(Table1[[#This Row],[net_profit]]/Table1[[#This Row],[production_budget]],"null")</f>
        <v>2.9947074230769233</v>
      </c>
      <c r="M13" s="3" t="str">
        <f>IF(Table1[[#This Row],[production_budget]]="null","TV Show","Movie")</f>
        <v>Movie</v>
      </c>
    </row>
    <row r="14" spans="1:13" x14ac:dyDescent="0.25">
      <c r="A14" t="s">
        <v>24</v>
      </c>
      <c r="B14" t="s">
        <v>25</v>
      </c>
      <c r="C14" s="1">
        <v>42496</v>
      </c>
      <c r="D14" s="5">
        <v>90</v>
      </c>
      <c r="E14" s="5">
        <v>89</v>
      </c>
      <c r="F14">
        <v>147</v>
      </c>
      <c r="G14" s="2">
        <v>250000000</v>
      </c>
      <c r="H14" s="3">
        <v>179139142</v>
      </c>
      <c r="I14" s="3">
        <v>408084349</v>
      </c>
      <c r="J14" s="2">
        <v>1153296293</v>
      </c>
      <c r="K14" s="3">
        <f>IFERROR(Table1[[#This Row],[worldwide_box_office]]-Table1[[#This Row],[production_budget]],"null")</f>
        <v>903296293</v>
      </c>
      <c r="L14" s="9">
        <f>IFERROR(Table1[[#This Row],[net_profit]]/Table1[[#This Row],[production_budget]],"null")</f>
        <v>3.6131851720000001</v>
      </c>
      <c r="M14" s="3" t="str">
        <f>IF(Table1[[#This Row],[production_budget]]="null","TV Show","Movie")</f>
        <v>Movie</v>
      </c>
    </row>
    <row r="15" spans="1:13" x14ac:dyDescent="0.25">
      <c r="A15" t="s">
        <v>26</v>
      </c>
      <c r="B15" t="s">
        <v>25</v>
      </c>
      <c r="C15" s="1">
        <v>42678</v>
      </c>
      <c r="D15" s="5">
        <v>89</v>
      </c>
      <c r="E15" s="5">
        <v>86</v>
      </c>
      <c r="F15">
        <v>115</v>
      </c>
      <c r="G15" s="2">
        <v>165000000</v>
      </c>
      <c r="H15" s="3">
        <v>85158311</v>
      </c>
      <c r="I15" s="3">
        <v>232641920</v>
      </c>
      <c r="J15" s="2">
        <v>677796076</v>
      </c>
      <c r="K15" s="3">
        <f>IFERROR(Table1[[#This Row],[worldwide_box_office]]-Table1[[#This Row],[production_budget]],"null")</f>
        <v>512796076</v>
      </c>
      <c r="L15" s="9">
        <f>IFERROR(Table1[[#This Row],[net_profit]]/Table1[[#This Row],[production_budget]],"null")</f>
        <v>3.1078550060606061</v>
      </c>
      <c r="M15" s="3" t="str">
        <f>IF(Table1[[#This Row],[production_budget]]="null","TV Show","Movie")</f>
        <v>Movie</v>
      </c>
    </row>
    <row r="16" spans="1:13" x14ac:dyDescent="0.25">
      <c r="A16" t="s">
        <v>27</v>
      </c>
      <c r="B16" t="s">
        <v>25</v>
      </c>
      <c r="C16" s="1">
        <v>42860</v>
      </c>
      <c r="D16" s="5">
        <v>85</v>
      </c>
      <c r="E16" s="5">
        <v>87</v>
      </c>
      <c r="F16">
        <v>136</v>
      </c>
      <c r="G16" s="2">
        <v>200000000</v>
      </c>
      <c r="H16" s="3">
        <v>146510104</v>
      </c>
      <c r="I16" s="3">
        <v>389813101</v>
      </c>
      <c r="J16" s="2">
        <v>869122246</v>
      </c>
      <c r="K16" s="3">
        <f>IFERROR(Table1[[#This Row],[worldwide_box_office]]-Table1[[#This Row],[production_budget]],"null")</f>
        <v>669122246</v>
      </c>
      <c r="L16" s="9">
        <f>IFERROR(Table1[[#This Row],[net_profit]]/Table1[[#This Row],[production_budget]],"null")</f>
        <v>3.3456112299999998</v>
      </c>
      <c r="M16" s="3" t="str">
        <f>IF(Table1[[#This Row],[production_budget]]="null","TV Show","Movie")</f>
        <v>Movie</v>
      </c>
    </row>
    <row r="17" spans="1:13" x14ac:dyDescent="0.25">
      <c r="A17" t="s">
        <v>28</v>
      </c>
      <c r="B17" t="s">
        <v>25</v>
      </c>
      <c r="C17" s="1">
        <v>42923</v>
      </c>
      <c r="D17" s="5">
        <v>92</v>
      </c>
      <c r="E17" s="5">
        <v>87</v>
      </c>
      <c r="F17">
        <v>133</v>
      </c>
      <c r="G17" s="2">
        <v>175000000</v>
      </c>
      <c r="H17" s="3">
        <v>117027503</v>
      </c>
      <c r="I17" s="3">
        <v>334201140</v>
      </c>
      <c r="J17" s="2">
        <v>880166924</v>
      </c>
      <c r="K17" s="3">
        <f>IFERROR(Table1[[#This Row],[worldwide_box_office]]-Table1[[#This Row],[production_budget]],"null")</f>
        <v>705166924</v>
      </c>
      <c r="L17" s="9">
        <f>IFERROR(Table1[[#This Row],[net_profit]]/Table1[[#This Row],[production_budget]],"null")</f>
        <v>4.0295252799999997</v>
      </c>
      <c r="M17" s="3" t="str">
        <f>IF(Table1[[#This Row],[production_budget]]="null","TV Show","Movie")</f>
        <v>Movie</v>
      </c>
    </row>
    <row r="18" spans="1:13" x14ac:dyDescent="0.25">
      <c r="A18" t="s">
        <v>82</v>
      </c>
      <c r="B18" t="s">
        <v>25</v>
      </c>
      <c r="C18" s="1">
        <v>43042</v>
      </c>
      <c r="D18" s="5">
        <v>93</v>
      </c>
      <c r="E18" s="5">
        <v>87</v>
      </c>
      <c r="F18">
        <v>130</v>
      </c>
      <c r="G18" s="2">
        <v>180000000</v>
      </c>
      <c r="H18" s="3">
        <v>122744989</v>
      </c>
      <c r="I18" s="3">
        <v>315058289</v>
      </c>
      <c r="J18" s="2">
        <v>855301806</v>
      </c>
      <c r="K18" s="3">
        <f>IFERROR(Table1[[#This Row],[worldwide_box_office]]-Table1[[#This Row],[production_budget]],"null")</f>
        <v>675301806</v>
      </c>
      <c r="L18" s="9">
        <f>IFERROR(Table1[[#This Row],[net_profit]]/Table1[[#This Row],[production_budget]],"null")</f>
        <v>3.7516767</v>
      </c>
      <c r="M18" s="3" t="str">
        <f>IF(Table1[[#This Row],[production_budget]]="null","TV Show","Movie")</f>
        <v>Movie</v>
      </c>
    </row>
    <row r="19" spans="1:13" x14ac:dyDescent="0.25">
      <c r="A19" t="s">
        <v>29</v>
      </c>
      <c r="B19" t="s">
        <v>25</v>
      </c>
      <c r="C19" s="1">
        <v>43147</v>
      </c>
      <c r="D19" s="5">
        <v>96</v>
      </c>
      <c r="E19" s="5">
        <v>79</v>
      </c>
      <c r="F19">
        <v>134</v>
      </c>
      <c r="G19" s="2">
        <v>200000000</v>
      </c>
      <c r="H19" s="3">
        <v>202003951</v>
      </c>
      <c r="I19" s="3">
        <v>700426566</v>
      </c>
      <c r="J19" s="2">
        <v>1353282444</v>
      </c>
      <c r="K19" s="3">
        <f>IFERROR(Table1[[#This Row],[worldwide_box_office]]-Table1[[#This Row],[production_budget]],"null")</f>
        <v>1153282444</v>
      </c>
      <c r="L19" s="9">
        <f>IFERROR(Table1[[#This Row],[net_profit]]/Table1[[#This Row],[production_budget]],"null")</f>
        <v>5.7664122200000003</v>
      </c>
      <c r="M19" s="3" t="str">
        <f>IF(Table1[[#This Row],[production_budget]]="null","TV Show","Movie")</f>
        <v>Movie</v>
      </c>
    </row>
    <row r="20" spans="1:13" x14ac:dyDescent="0.25">
      <c r="A20" t="s">
        <v>30</v>
      </c>
      <c r="B20" t="s">
        <v>25</v>
      </c>
      <c r="C20" s="1">
        <v>43217</v>
      </c>
      <c r="D20" s="5">
        <v>85</v>
      </c>
      <c r="E20" s="5">
        <v>91</v>
      </c>
      <c r="F20">
        <v>149</v>
      </c>
      <c r="G20" s="2">
        <v>325000000</v>
      </c>
      <c r="H20" s="3">
        <v>257698183</v>
      </c>
      <c r="I20" s="3">
        <v>678815482</v>
      </c>
      <c r="J20" s="2">
        <v>2052415039</v>
      </c>
      <c r="K20" s="3">
        <f>IFERROR(Table1[[#This Row],[worldwide_box_office]]-Table1[[#This Row],[production_budget]],"null")</f>
        <v>1727415039</v>
      </c>
      <c r="L20" s="9">
        <f>IFERROR(Table1[[#This Row],[net_profit]]/Table1[[#This Row],[production_budget]],"null")</f>
        <v>5.3151231969230768</v>
      </c>
      <c r="M20" s="3" t="str">
        <f>IF(Table1[[#This Row],[production_budget]]="null","TV Show","Movie")</f>
        <v>Movie</v>
      </c>
    </row>
    <row r="21" spans="1:13" x14ac:dyDescent="0.25">
      <c r="A21" t="s">
        <v>31</v>
      </c>
      <c r="B21" t="s">
        <v>25</v>
      </c>
      <c r="C21" s="1">
        <v>43287</v>
      </c>
      <c r="D21" s="5">
        <v>87</v>
      </c>
      <c r="E21" s="5">
        <v>80</v>
      </c>
      <c r="F21">
        <v>118</v>
      </c>
      <c r="G21" s="2">
        <v>162000000</v>
      </c>
      <c r="H21" s="3">
        <v>75812205</v>
      </c>
      <c r="I21" s="3">
        <v>216648740</v>
      </c>
      <c r="J21" s="2">
        <v>622674139</v>
      </c>
      <c r="K21" s="3">
        <f>IFERROR(Table1[[#This Row],[worldwide_box_office]]-Table1[[#This Row],[production_budget]],"null")</f>
        <v>460674139</v>
      </c>
      <c r="L21" s="9">
        <f>IFERROR(Table1[[#This Row],[net_profit]]/Table1[[#This Row],[production_budget]],"null")</f>
        <v>2.8436675246913579</v>
      </c>
      <c r="M21" s="3" t="str">
        <f>IF(Table1[[#This Row],[production_budget]]="null","TV Show","Movie")</f>
        <v>Movie</v>
      </c>
    </row>
    <row r="22" spans="1:13" x14ac:dyDescent="0.25">
      <c r="A22" t="s">
        <v>32</v>
      </c>
      <c r="B22" t="s">
        <v>25</v>
      </c>
      <c r="C22" s="1">
        <v>43532</v>
      </c>
      <c r="D22" s="5">
        <v>79</v>
      </c>
      <c r="E22" s="5">
        <v>45</v>
      </c>
      <c r="F22">
        <v>123</v>
      </c>
      <c r="G22" s="2">
        <v>175000000</v>
      </c>
      <c r="H22" s="3">
        <v>153433423</v>
      </c>
      <c r="I22" s="3">
        <v>426829839</v>
      </c>
      <c r="J22" s="2">
        <v>1131934225</v>
      </c>
      <c r="K22" s="3">
        <f>IFERROR(Table1[[#This Row],[worldwide_box_office]]-Table1[[#This Row],[production_budget]],"null")</f>
        <v>956934225</v>
      </c>
      <c r="L22" s="9">
        <f>IFERROR(Table1[[#This Row],[net_profit]]/Table1[[#This Row],[production_budget]],"null")</f>
        <v>5.4681955714285717</v>
      </c>
      <c r="M22" s="3" t="str">
        <f>IF(Table1[[#This Row],[production_budget]]="null","TV Show","Movie")</f>
        <v>Movie</v>
      </c>
    </row>
    <row r="23" spans="1:13" x14ac:dyDescent="0.25">
      <c r="A23" t="s">
        <v>33</v>
      </c>
      <c r="B23" t="s">
        <v>25</v>
      </c>
      <c r="C23" s="1">
        <v>43581</v>
      </c>
      <c r="D23" s="5">
        <v>94</v>
      </c>
      <c r="E23" s="5">
        <v>90</v>
      </c>
      <c r="F23">
        <v>181</v>
      </c>
      <c r="G23" s="2">
        <v>356000000</v>
      </c>
      <c r="H23" s="3">
        <v>357115007</v>
      </c>
      <c r="I23" s="3">
        <v>858373000</v>
      </c>
      <c r="J23" s="2">
        <v>2799439100</v>
      </c>
      <c r="K23" s="3">
        <f>IFERROR(Table1[[#This Row],[worldwide_box_office]]-Table1[[#This Row],[production_budget]],"null")</f>
        <v>2443439100</v>
      </c>
      <c r="L23" s="9">
        <f>IFERROR(Table1[[#This Row],[net_profit]]/Table1[[#This Row],[production_budget]],"null")</f>
        <v>6.8635929775280902</v>
      </c>
      <c r="M23" s="3" t="str">
        <f>IF(Table1[[#This Row],[production_budget]]="null","TV Show","Movie")</f>
        <v>Movie</v>
      </c>
    </row>
    <row r="24" spans="1:13" x14ac:dyDescent="0.25">
      <c r="A24" t="s">
        <v>34</v>
      </c>
      <c r="B24" t="s">
        <v>25</v>
      </c>
      <c r="C24" s="1">
        <v>43648</v>
      </c>
      <c r="D24" s="5">
        <v>91</v>
      </c>
      <c r="E24" s="5">
        <v>95</v>
      </c>
      <c r="F24">
        <v>129</v>
      </c>
      <c r="G24" s="2">
        <v>160000000</v>
      </c>
      <c r="H24" s="3">
        <v>92579212</v>
      </c>
      <c r="I24" s="3">
        <v>390532085</v>
      </c>
      <c r="J24" s="2">
        <v>1131927996</v>
      </c>
      <c r="K24" s="3">
        <f>IFERROR(Table1[[#This Row],[worldwide_box_office]]-Table1[[#This Row],[production_budget]],"null")</f>
        <v>971927996</v>
      </c>
      <c r="L24" s="9">
        <f>IFERROR(Table1[[#This Row],[net_profit]]/Table1[[#This Row],[production_budget]],"null")</f>
        <v>6.074549975</v>
      </c>
      <c r="M24" s="3" t="str">
        <f>IF(Table1[[#This Row],[production_budget]]="null","TV Show","Movie")</f>
        <v>Movie</v>
      </c>
    </row>
    <row r="25" spans="1:13" x14ac:dyDescent="0.25">
      <c r="A25" t="s">
        <v>35</v>
      </c>
      <c r="B25" t="s">
        <v>36</v>
      </c>
      <c r="C25" s="1">
        <v>44386</v>
      </c>
      <c r="D25" s="5">
        <v>79</v>
      </c>
      <c r="E25" s="5">
        <v>91</v>
      </c>
      <c r="F25">
        <v>134</v>
      </c>
      <c r="G25" s="2">
        <v>200000000</v>
      </c>
      <c r="H25" s="3">
        <v>80366312</v>
      </c>
      <c r="I25" s="3">
        <v>183651655</v>
      </c>
      <c r="J25" s="2">
        <v>379751655</v>
      </c>
      <c r="K25" s="3">
        <f>IFERROR(Table1[[#This Row],[worldwide_box_office]]-Table1[[#This Row],[production_budget]],"null")</f>
        <v>179751655</v>
      </c>
      <c r="L25" s="9">
        <f>IFERROR(Table1[[#This Row],[net_profit]]/Table1[[#This Row],[production_budget]],"null")</f>
        <v>0.89875827500000005</v>
      </c>
      <c r="M25" s="3" t="str">
        <f>IF(Table1[[#This Row],[production_budget]]="null","TV Show","Movie")</f>
        <v>Movie</v>
      </c>
    </row>
    <row r="26" spans="1:13" x14ac:dyDescent="0.25">
      <c r="A26" t="s">
        <v>37</v>
      </c>
      <c r="B26" t="s">
        <v>36</v>
      </c>
      <c r="C26" s="1">
        <v>44442</v>
      </c>
      <c r="D26" s="5">
        <v>92</v>
      </c>
      <c r="E26" s="5">
        <v>98</v>
      </c>
      <c r="F26">
        <v>132</v>
      </c>
      <c r="G26" s="2">
        <v>150000000</v>
      </c>
      <c r="H26" s="3">
        <v>75388688</v>
      </c>
      <c r="I26" s="3">
        <v>224543292</v>
      </c>
      <c r="J26" s="2">
        <v>432243292</v>
      </c>
      <c r="K26" s="3">
        <f>IFERROR(Table1[[#This Row],[worldwide_box_office]]-Table1[[#This Row],[production_budget]],"null")</f>
        <v>282243292</v>
      </c>
      <c r="L26" s="9">
        <f>IFERROR(Table1[[#This Row],[net_profit]]/Table1[[#This Row],[production_budget]],"null")</f>
        <v>1.8816219466666666</v>
      </c>
      <c r="M26" s="3" t="str">
        <f>IF(Table1[[#This Row],[production_budget]]="null","TV Show","Movie")</f>
        <v>Movie</v>
      </c>
    </row>
    <row r="27" spans="1:13" x14ac:dyDescent="0.25">
      <c r="A27" t="s">
        <v>83</v>
      </c>
      <c r="B27" t="s">
        <v>36</v>
      </c>
      <c r="C27" s="1">
        <v>44505</v>
      </c>
      <c r="D27" s="5">
        <v>47</v>
      </c>
      <c r="E27" s="5">
        <v>77</v>
      </c>
      <c r="F27">
        <v>156</v>
      </c>
      <c r="G27" s="2">
        <v>236000000</v>
      </c>
      <c r="H27" s="3">
        <v>71297219</v>
      </c>
      <c r="I27" s="3">
        <v>164870234</v>
      </c>
      <c r="J27" s="2">
        <v>402064899</v>
      </c>
      <c r="K27" s="3">
        <f>IFERROR(Table1[[#This Row],[worldwide_box_office]]-Table1[[#This Row],[production_budget]],"null")</f>
        <v>166064899</v>
      </c>
      <c r="L27" s="9">
        <f>IFERROR(Table1[[#This Row],[net_profit]]/Table1[[#This Row],[production_budget]],"null")</f>
        <v>0.70366482627118643</v>
      </c>
      <c r="M27" s="3" t="str">
        <f>IF(Table1[[#This Row],[production_budget]]="null","TV Show","Movie")</f>
        <v>Movie</v>
      </c>
    </row>
    <row r="28" spans="1:13" x14ac:dyDescent="0.25">
      <c r="A28" t="s">
        <v>38</v>
      </c>
      <c r="B28" t="s">
        <v>36</v>
      </c>
      <c r="C28" s="1">
        <v>44547</v>
      </c>
      <c r="D28" s="5">
        <v>93</v>
      </c>
      <c r="E28" s="5">
        <v>97</v>
      </c>
      <c r="F28">
        <v>148</v>
      </c>
      <c r="G28" s="2">
        <v>200000000</v>
      </c>
      <c r="H28" s="3">
        <v>260138569</v>
      </c>
      <c r="I28" s="3">
        <v>804793477</v>
      </c>
      <c r="J28" s="2">
        <v>1922560366</v>
      </c>
      <c r="K28" s="3">
        <f>IFERROR(Table1[[#This Row],[worldwide_box_office]]-Table1[[#This Row],[production_budget]],"null")</f>
        <v>1722560366</v>
      </c>
      <c r="L28" s="9">
        <f>IFERROR(Table1[[#This Row],[net_profit]]/Table1[[#This Row],[production_budget]],"null")</f>
        <v>8.6128018300000004</v>
      </c>
      <c r="M28" s="3" t="str">
        <f>IF(Table1[[#This Row],[production_budget]]="null","TV Show","Movie")</f>
        <v>Movie</v>
      </c>
    </row>
    <row r="29" spans="1:13" x14ac:dyDescent="0.25">
      <c r="A29" t="s">
        <v>39</v>
      </c>
      <c r="B29" t="s">
        <v>36</v>
      </c>
      <c r="C29" s="1">
        <v>44687</v>
      </c>
      <c r="D29" s="5">
        <v>73</v>
      </c>
      <c r="E29" s="5">
        <v>85</v>
      </c>
      <c r="F29">
        <v>126</v>
      </c>
      <c r="G29" s="2">
        <v>200000000</v>
      </c>
      <c r="H29" s="3">
        <v>187420998</v>
      </c>
      <c r="I29" s="3">
        <v>411331607</v>
      </c>
      <c r="J29" s="2">
        <v>955775804</v>
      </c>
      <c r="K29" s="3">
        <f>IFERROR(Table1[[#This Row],[worldwide_box_office]]-Table1[[#This Row],[production_budget]],"null")</f>
        <v>755775804</v>
      </c>
      <c r="L29" s="9">
        <f>IFERROR(Table1[[#This Row],[net_profit]]/Table1[[#This Row],[production_budget]],"null")</f>
        <v>3.7788790200000002</v>
      </c>
      <c r="M29" s="3" t="str">
        <f>IF(Table1[[#This Row],[production_budget]]="null","TV Show","Movie")</f>
        <v>Movie</v>
      </c>
    </row>
    <row r="30" spans="1:13" x14ac:dyDescent="0.25">
      <c r="A30" t="s">
        <v>40</v>
      </c>
      <c r="B30" t="s">
        <v>36</v>
      </c>
      <c r="C30" s="1">
        <v>44750</v>
      </c>
      <c r="D30" s="5">
        <v>63</v>
      </c>
      <c r="E30" s="5">
        <v>76</v>
      </c>
      <c r="F30">
        <v>118</v>
      </c>
      <c r="G30" s="2">
        <v>250000000</v>
      </c>
      <c r="H30" s="3">
        <v>144165107</v>
      </c>
      <c r="I30" s="3">
        <v>343256830</v>
      </c>
      <c r="J30" s="2">
        <v>760928081</v>
      </c>
      <c r="K30" s="3">
        <f>IFERROR(Table1[[#This Row],[worldwide_box_office]]-Table1[[#This Row],[production_budget]],"null")</f>
        <v>510928081</v>
      </c>
      <c r="L30" s="9">
        <f>IFERROR(Table1[[#This Row],[net_profit]]/Table1[[#This Row],[production_budget]],"null")</f>
        <v>2.0437123239999999</v>
      </c>
      <c r="M30" s="3" t="str">
        <f>IF(Table1[[#This Row],[production_budget]]="null","TV Show","Movie")</f>
        <v>Movie</v>
      </c>
    </row>
    <row r="31" spans="1:13" x14ac:dyDescent="0.25">
      <c r="A31" t="s">
        <v>41</v>
      </c>
      <c r="B31" t="s">
        <v>36</v>
      </c>
      <c r="C31" s="1">
        <v>44876</v>
      </c>
      <c r="D31" s="5">
        <v>84</v>
      </c>
      <c r="E31" s="5">
        <v>95</v>
      </c>
      <c r="F31">
        <v>161</v>
      </c>
      <c r="G31" s="2">
        <v>250000000</v>
      </c>
      <c r="H31" s="3">
        <v>181339761</v>
      </c>
      <c r="I31" s="3">
        <v>453829060</v>
      </c>
      <c r="J31" s="2">
        <v>859208836</v>
      </c>
      <c r="K31" s="3">
        <f>IFERROR(Table1[[#This Row],[worldwide_box_office]]-Table1[[#This Row],[production_budget]],"null")</f>
        <v>609208836</v>
      </c>
      <c r="L31" s="9">
        <f>IFERROR(Table1[[#This Row],[net_profit]]/Table1[[#This Row],[production_budget]],"null")</f>
        <v>2.4368353439999999</v>
      </c>
      <c r="M31" s="3" t="str">
        <f>IF(Table1[[#This Row],[production_budget]]="null","TV Show","Movie")</f>
        <v>Movie</v>
      </c>
    </row>
    <row r="32" spans="1:13" x14ac:dyDescent="0.25">
      <c r="A32" t="s">
        <v>42</v>
      </c>
      <c r="B32" t="s">
        <v>43</v>
      </c>
      <c r="C32" s="1">
        <v>44974</v>
      </c>
      <c r="D32" s="5">
        <v>46</v>
      </c>
      <c r="E32" s="5">
        <v>82</v>
      </c>
      <c r="F32">
        <v>125</v>
      </c>
      <c r="G32" s="2">
        <v>200000000</v>
      </c>
      <c r="H32" s="3">
        <v>106109650</v>
      </c>
      <c r="I32" s="3">
        <v>214504909</v>
      </c>
      <c r="J32" s="2">
        <v>476071180</v>
      </c>
      <c r="K32" s="3">
        <f>IFERROR(Table1[[#This Row],[worldwide_box_office]]-Table1[[#This Row],[production_budget]],"null")</f>
        <v>276071180</v>
      </c>
      <c r="L32" s="9">
        <f>IFERROR(Table1[[#This Row],[net_profit]]/Table1[[#This Row],[production_budget]],"null")</f>
        <v>1.3803559000000001</v>
      </c>
      <c r="M32" s="3" t="str">
        <f>IF(Table1[[#This Row],[production_budget]]="null","TV Show","Movie")</f>
        <v>Movie</v>
      </c>
    </row>
    <row r="33" spans="1:13" x14ac:dyDescent="0.25">
      <c r="A33" t="s">
        <v>44</v>
      </c>
      <c r="B33" t="s">
        <v>43</v>
      </c>
      <c r="C33" s="1">
        <v>45051</v>
      </c>
      <c r="D33" s="5">
        <v>82</v>
      </c>
      <c r="E33" s="5">
        <v>94</v>
      </c>
      <c r="F33">
        <v>150</v>
      </c>
      <c r="G33" s="2">
        <v>250000000</v>
      </c>
      <c r="H33" s="3">
        <v>118414021</v>
      </c>
      <c r="I33" s="3">
        <v>358995815</v>
      </c>
      <c r="J33" s="2">
        <v>845555777</v>
      </c>
      <c r="K33" s="3">
        <f>IFERROR(Table1[[#This Row],[worldwide_box_office]]-Table1[[#This Row],[production_budget]],"null")</f>
        <v>595555777</v>
      </c>
      <c r="L33" s="9">
        <f>IFERROR(Table1[[#This Row],[net_profit]]/Table1[[#This Row],[production_budget]],"null")</f>
        <v>2.3822231079999998</v>
      </c>
      <c r="M33" s="3" t="str">
        <f>IF(Table1[[#This Row],[production_budget]]="null","TV Show","Movie")</f>
        <v>Movie</v>
      </c>
    </row>
    <row r="34" spans="1:13" x14ac:dyDescent="0.25">
      <c r="A34" t="s">
        <v>45</v>
      </c>
      <c r="B34" t="s">
        <v>43</v>
      </c>
      <c r="C34" s="1">
        <v>45240</v>
      </c>
      <c r="D34" s="5">
        <v>62</v>
      </c>
      <c r="E34" s="5">
        <v>80</v>
      </c>
      <c r="F34">
        <v>105</v>
      </c>
      <c r="G34" s="2">
        <v>270000000</v>
      </c>
      <c r="H34" s="3">
        <v>46110859</v>
      </c>
      <c r="I34" s="3">
        <v>84500223</v>
      </c>
      <c r="J34" s="2">
        <v>206136825</v>
      </c>
      <c r="K34" s="3">
        <f>IFERROR(Table1[[#This Row],[worldwide_box_office]]-Table1[[#This Row],[production_budget]],"null")</f>
        <v>-63863175</v>
      </c>
      <c r="L34" s="9">
        <f>IFERROR(Table1[[#This Row],[net_profit]]/Table1[[#This Row],[production_budget]],"null")</f>
        <v>-0.23653027777777777</v>
      </c>
      <c r="M34" s="3" t="str">
        <f>IF(Table1[[#This Row],[production_budget]]="null","TV Show","Movie")</f>
        <v>Movie</v>
      </c>
    </row>
    <row r="35" spans="1:13" x14ac:dyDescent="0.25">
      <c r="A35" t="s">
        <v>46</v>
      </c>
      <c r="B35" t="s">
        <v>43</v>
      </c>
      <c r="C35" s="1">
        <v>45499</v>
      </c>
      <c r="D35" s="5">
        <v>77</v>
      </c>
      <c r="E35" s="5">
        <v>94</v>
      </c>
      <c r="F35">
        <v>128</v>
      </c>
      <c r="G35" s="2">
        <v>200000000</v>
      </c>
      <c r="H35" s="3">
        <v>211435291</v>
      </c>
      <c r="I35" s="3">
        <v>636745858</v>
      </c>
      <c r="J35" s="2">
        <v>1338073645</v>
      </c>
      <c r="K35" s="3">
        <f>IFERROR(Table1[[#This Row],[worldwide_box_office]]-Table1[[#This Row],[production_budget]],"null")</f>
        <v>1138073645</v>
      </c>
      <c r="L35" s="9">
        <f>IFERROR(Table1[[#This Row],[net_profit]]/Table1[[#This Row],[production_budget]],"null")</f>
        <v>5.6903682250000003</v>
      </c>
      <c r="M35" s="3" t="str">
        <f>IF(Table1[[#This Row],[production_budget]]="null","TV Show","Movie")</f>
        <v>Movie</v>
      </c>
    </row>
    <row r="36" spans="1:13" x14ac:dyDescent="0.25">
      <c r="A36" t="s">
        <v>47</v>
      </c>
      <c r="B36" t="s">
        <v>43</v>
      </c>
      <c r="C36" s="1">
        <v>45702</v>
      </c>
      <c r="D36" s="5">
        <v>48</v>
      </c>
      <c r="E36" s="5">
        <v>78</v>
      </c>
      <c r="F36">
        <v>118</v>
      </c>
      <c r="G36" s="2">
        <v>180000000</v>
      </c>
      <c r="H36" s="3">
        <v>88842603</v>
      </c>
      <c r="I36" s="3">
        <v>200500001</v>
      </c>
      <c r="J36" s="2">
        <v>415101577</v>
      </c>
      <c r="K36" s="3">
        <f>IFERROR(Table1[[#This Row],[worldwide_box_office]]-Table1[[#This Row],[production_budget]],"null")</f>
        <v>235101577</v>
      </c>
      <c r="L36" s="9">
        <f>IFERROR(Table1[[#This Row],[net_profit]]/Table1[[#This Row],[production_budget]],"null")</f>
        <v>1.3061198722222223</v>
      </c>
      <c r="M36" s="3" t="str">
        <f>IF(Table1[[#This Row],[production_budget]]="null","TV Show","Movie")</f>
        <v>Movie</v>
      </c>
    </row>
    <row r="37" spans="1:13" x14ac:dyDescent="0.25">
      <c r="A37" t="s">
        <v>48</v>
      </c>
      <c r="B37" t="s">
        <v>43</v>
      </c>
      <c r="C37" s="1">
        <v>45779</v>
      </c>
      <c r="D37" s="5">
        <v>88</v>
      </c>
      <c r="E37" s="5">
        <v>91</v>
      </c>
      <c r="F37">
        <v>127</v>
      </c>
      <c r="G37" s="2">
        <v>180000000</v>
      </c>
      <c r="H37" s="3">
        <v>74300608</v>
      </c>
      <c r="I37" s="3">
        <v>190274328</v>
      </c>
      <c r="J37" s="2">
        <v>382436917</v>
      </c>
      <c r="K37" s="3">
        <f>IFERROR(Table1[[#This Row],[worldwide_box_office]]-Table1[[#This Row],[production_budget]],"null")</f>
        <v>202436917</v>
      </c>
      <c r="L37" s="9">
        <f>IFERROR(Table1[[#This Row],[net_profit]]/Table1[[#This Row],[production_budget]],"null")</f>
        <v>1.1246495388888889</v>
      </c>
      <c r="M37" s="3" t="str">
        <f>IF(Table1[[#This Row],[production_budget]]="null","TV Show","Movie")</f>
        <v>Movie</v>
      </c>
    </row>
    <row r="38" spans="1:13" x14ac:dyDescent="0.25">
      <c r="A38" t="s">
        <v>49</v>
      </c>
      <c r="B38" t="s">
        <v>50</v>
      </c>
      <c r="C38" s="1">
        <v>45863</v>
      </c>
      <c r="D38" s="5">
        <v>86</v>
      </c>
      <c r="E38" s="5">
        <v>90</v>
      </c>
      <c r="F38">
        <v>114</v>
      </c>
      <c r="G38" s="2">
        <v>200000000</v>
      </c>
      <c r="H38" s="3">
        <v>117644828</v>
      </c>
      <c r="I38" s="3">
        <v>274286610</v>
      </c>
      <c r="J38" s="2">
        <v>521858728</v>
      </c>
      <c r="K38" s="3">
        <f>IFERROR(Table1[[#This Row],[worldwide_box_office]]-Table1[[#This Row],[production_budget]],"null")</f>
        <v>321858728</v>
      </c>
      <c r="L38" s="9">
        <f>IFERROR(Table1[[#This Row],[net_profit]]/Table1[[#This Row],[production_budget]],"null")</f>
        <v>1.60929364</v>
      </c>
      <c r="M38" s="3" t="str">
        <f>IF(Table1[[#This Row],[production_budget]]="null","TV Show","Movie")</f>
        <v>Movie</v>
      </c>
    </row>
    <row r="39" spans="1:13" x14ac:dyDescent="0.25">
      <c r="A39" t="s">
        <v>51</v>
      </c>
      <c r="B39" t="s">
        <v>50</v>
      </c>
      <c r="C39" s="1">
        <v>46234</v>
      </c>
      <c r="D39" s="5">
        <v>89</v>
      </c>
      <c r="E39" s="5">
        <v>93</v>
      </c>
      <c r="F39">
        <v>136</v>
      </c>
      <c r="G39" s="2">
        <v>225000000</v>
      </c>
      <c r="H39" s="3">
        <v>360091572</v>
      </c>
      <c r="I39" s="3">
        <v>858400177</v>
      </c>
      <c r="J39" s="2">
        <v>2224515513</v>
      </c>
      <c r="K39" s="3">
        <f>IFERROR(Table1[[#This Row],[worldwide_box_office]]-Table1[[#This Row],[production_budget]],"null")</f>
        <v>1999515513</v>
      </c>
      <c r="L39" s="9">
        <f>IFERROR(Table1[[#This Row],[net_profit]]/Table1[[#This Row],[production_budget]],"null")</f>
        <v>8.8867356133333342</v>
      </c>
      <c r="M39" s="3" t="str">
        <f>IF(Table1[[#This Row],[production_budget]]="null","TV Show","Movie")</f>
        <v>Movie</v>
      </c>
    </row>
    <row r="40" spans="1:13" x14ac:dyDescent="0.25">
      <c r="A40" t="s">
        <v>52</v>
      </c>
      <c r="B40" t="s">
        <v>36</v>
      </c>
      <c r="C40" s="1">
        <v>44211</v>
      </c>
      <c r="D40" s="5">
        <v>91</v>
      </c>
      <c r="E40" s="5">
        <v>88</v>
      </c>
      <c r="F40" t="s">
        <v>84</v>
      </c>
      <c r="G40" s="2" t="s">
        <v>84</v>
      </c>
      <c r="H40" s="3" t="s">
        <v>84</v>
      </c>
      <c r="I40" s="3" t="s">
        <v>84</v>
      </c>
      <c r="J40" s="2" t="s">
        <v>84</v>
      </c>
      <c r="K40" s="3" t="str">
        <f>IFERROR(Table1[[#This Row],[worldwide_box_office]]-Table1[[#This Row],[production_budget]],"null")</f>
        <v>null</v>
      </c>
      <c r="L40" s="9" t="str">
        <f>IFERROR(Table1[[#This Row],[net_profit]]/Table1[[#This Row],[production_budget]],"null")</f>
        <v>null</v>
      </c>
      <c r="M40" s="3" t="str">
        <f>IF(Table1[[#This Row],[production_budget]]="null","TV Show","Movie")</f>
        <v>TV Show</v>
      </c>
    </row>
    <row r="41" spans="1:13" x14ac:dyDescent="0.25">
      <c r="A41" t="s">
        <v>53</v>
      </c>
      <c r="B41" t="s">
        <v>36</v>
      </c>
      <c r="C41" s="1">
        <v>44274</v>
      </c>
      <c r="D41" s="5">
        <v>86</v>
      </c>
      <c r="E41" s="5">
        <v>81</v>
      </c>
      <c r="F41" t="s">
        <v>84</v>
      </c>
      <c r="G41" s="2" t="s">
        <v>84</v>
      </c>
      <c r="H41" s="3" t="s">
        <v>84</v>
      </c>
      <c r="I41" s="3" t="s">
        <v>84</v>
      </c>
      <c r="J41" s="2" t="s">
        <v>84</v>
      </c>
      <c r="K41" s="3" t="str">
        <f>IFERROR(Table1[[#This Row],[worldwide_box_office]]-Table1[[#This Row],[production_budget]],"null")</f>
        <v>null</v>
      </c>
      <c r="L41" s="9" t="str">
        <f>IFERROR(Table1[[#This Row],[net_profit]]/Table1[[#This Row],[production_budget]],"null")</f>
        <v>null</v>
      </c>
      <c r="M41" s="3" t="str">
        <f>IF(Table1[[#This Row],[production_budget]]="null","TV Show","Movie")</f>
        <v>TV Show</v>
      </c>
    </row>
    <row r="42" spans="1:13" x14ac:dyDescent="0.25">
      <c r="A42" t="s">
        <v>54</v>
      </c>
      <c r="B42" t="s">
        <v>36</v>
      </c>
      <c r="C42" s="1">
        <v>44356</v>
      </c>
      <c r="D42" s="5">
        <v>92</v>
      </c>
      <c r="E42" s="5">
        <v>90</v>
      </c>
      <c r="F42" t="s">
        <v>84</v>
      </c>
      <c r="G42" s="2" t="s">
        <v>84</v>
      </c>
      <c r="H42" s="3" t="s">
        <v>84</v>
      </c>
      <c r="I42" s="3" t="s">
        <v>84</v>
      </c>
      <c r="J42" s="2" t="s">
        <v>84</v>
      </c>
      <c r="K42" s="3" t="str">
        <f>IFERROR(Table1[[#This Row],[worldwide_box_office]]-Table1[[#This Row],[production_budget]],"null")</f>
        <v>null</v>
      </c>
      <c r="L42" s="9" t="str">
        <f>IFERROR(Table1[[#This Row],[net_profit]]/Table1[[#This Row],[production_budget]],"null")</f>
        <v>null</v>
      </c>
      <c r="M42" s="3" t="str">
        <f>IF(Table1[[#This Row],[production_budget]]="null","TV Show","Movie")</f>
        <v>TV Show</v>
      </c>
    </row>
    <row r="43" spans="1:13" x14ac:dyDescent="0.25">
      <c r="A43" t="s">
        <v>55</v>
      </c>
      <c r="B43" t="s">
        <v>36</v>
      </c>
      <c r="C43" s="1">
        <v>44419</v>
      </c>
      <c r="D43" s="5">
        <v>94</v>
      </c>
      <c r="E43" s="5">
        <v>93</v>
      </c>
      <c r="F43" t="s">
        <v>84</v>
      </c>
      <c r="G43" s="2" t="s">
        <v>84</v>
      </c>
      <c r="H43" s="3" t="s">
        <v>84</v>
      </c>
      <c r="I43" s="3" t="s">
        <v>84</v>
      </c>
      <c r="J43" s="2" t="s">
        <v>84</v>
      </c>
      <c r="K43" s="3" t="str">
        <f>IFERROR(Table1[[#This Row],[worldwide_box_office]]-Table1[[#This Row],[production_budget]],"null")</f>
        <v>null</v>
      </c>
      <c r="L43" s="9" t="str">
        <f>IFERROR(Table1[[#This Row],[net_profit]]/Table1[[#This Row],[production_budget]],"null")</f>
        <v>null</v>
      </c>
      <c r="M43" s="3" t="str">
        <f>IF(Table1[[#This Row],[production_budget]]="null","TV Show","Movie")</f>
        <v>TV Show</v>
      </c>
    </row>
    <row r="44" spans="1:13" x14ac:dyDescent="0.25">
      <c r="A44" t="s">
        <v>56</v>
      </c>
      <c r="B44" t="s">
        <v>36</v>
      </c>
      <c r="C44" s="1">
        <v>44524</v>
      </c>
      <c r="D44" s="5">
        <v>92</v>
      </c>
      <c r="E44" s="5">
        <v>88</v>
      </c>
      <c r="F44" t="s">
        <v>84</v>
      </c>
      <c r="G44" s="2" t="s">
        <v>84</v>
      </c>
      <c r="H44" s="3" t="s">
        <v>84</v>
      </c>
      <c r="I44" s="3" t="s">
        <v>84</v>
      </c>
      <c r="J44" s="2" t="s">
        <v>84</v>
      </c>
      <c r="K44" s="3" t="str">
        <f>IFERROR(Table1[[#This Row],[worldwide_box_office]]-Table1[[#This Row],[production_budget]],"null")</f>
        <v>null</v>
      </c>
      <c r="L44" s="9" t="str">
        <f>IFERROR(Table1[[#This Row],[net_profit]]/Table1[[#This Row],[production_budget]],"null")</f>
        <v>null</v>
      </c>
      <c r="M44" s="3" t="str">
        <f>IF(Table1[[#This Row],[production_budget]]="null","TV Show","Movie")</f>
        <v>TV Show</v>
      </c>
    </row>
    <row r="45" spans="1:13" x14ac:dyDescent="0.25">
      <c r="A45" t="s">
        <v>57</v>
      </c>
      <c r="B45" t="s">
        <v>36</v>
      </c>
      <c r="C45" s="1">
        <v>44650</v>
      </c>
      <c r="D45" s="5">
        <v>86</v>
      </c>
      <c r="E45" s="5">
        <v>89</v>
      </c>
      <c r="F45" t="s">
        <v>84</v>
      </c>
      <c r="G45" s="2" t="s">
        <v>84</v>
      </c>
      <c r="H45" s="3" t="s">
        <v>84</v>
      </c>
      <c r="I45" s="3" t="s">
        <v>84</v>
      </c>
      <c r="J45" s="2" t="s">
        <v>84</v>
      </c>
      <c r="K45" s="3" t="str">
        <f>IFERROR(Table1[[#This Row],[worldwide_box_office]]-Table1[[#This Row],[production_budget]],"null")</f>
        <v>null</v>
      </c>
      <c r="L45" s="9" t="str">
        <f>IFERROR(Table1[[#This Row],[net_profit]]/Table1[[#This Row],[production_budget]],"null")</f>
        <v>null</v>
      </c>
      <c r="M45" s="3" t="str">
        <f>IF(Table1[[#This Row],[production_budget]]="null","TV Show","Movie")</f>
        <v>TV Show</v>
      </c>
    </row>
    <row r="46" spans="1:13" x14ac:dyDescent="0.25">
      <c r="A46" t="s">
        <v>58</v>
      </c>
      <c r="B46" t="s">
        <v>36</v>
      </c>
      <c r="C46" s="1">
        <v>44720</v>
      </c>
      <c r="D46" s="5">
        <v>98</v>
      </c>
      <c r="E46" s="5">
        <v>80</v>
      </c>
      <c r="F46" t="s">
        <v>84</v>
      </c>
      <c r="G46" s="2" t="s">
        <v>84</v>
      </c>
      <c r="H46" s="3" t="s">
        <v>84</v>
      </c>
      <c r="I46" s="3" t="s">
        <v>84</v>
      </c>
      <c r="J46" s="2" t="s">
        <v>84</v>
      </c>
      <c r="K46" s="3" t="str">
        <f>IFERROR(Table1[[#This Row],[worldwide_box_office]]-Table1[[#This Row],[production_budget]],"null")</f>
        <v>null</v>
      </c>
      <c r="L46" s="9" t="str">
        <f>IFERROR(Table1[[#This Row],[net_profit]]/Table1[[#This Row],[production_budget]],"null")</f>
        <v>null</v>
      </c>
      <c r="M46" s="3" t="str">
        <f>IF(Table1[[#This Row],[production_budget]]="null","TV Show","Movie")</f>
        <v>TV Show</v>
      </c>
    </row>
    <row r="47" spans="1:13" x14ac:dyDescent="0.25">
      <c r="A47" t="s">
        <v>59</v>
      </c>
      <c r="B47" t="s">
        <v>36</v>
      </c>
      <c r="C47" s="1">
        <v>44791</v>
      </c>
      <c r="D47" s="5">
        <v>77</v>
      </c>
      <c r="E47" s="5">
        <v>32</v>
      </c>
      <c r="F47" t="s">
        <v>84</v>
      </c>
      <c r="G47" s="2" t="s">
        <v>84</v>
      </c>
      <c r="H47" s="3" t="s">
        <v>84</v>
      </c>
      <c r="I47" s="3" t="s">
        <v>84</v>
      </c>
      <c r="J47" s="2" t="s">
        <v>84</v>
      </c>
      <c r="K47" s="3" t="str">
        <f>IFERROR(Table1[[#This Row],[worldwide_box_office]]-Table1[[#This Row],[production_budget]],"null")</f>
        <v>null</v>
      </c>
      <c r="L47" s="9" t="str">
        <f>IFERROR(Table1[[#This Row],[net_profit]]/Table1[[#This Row],[production_budget]],"null")</f>
        <v>null</v>
      </c>
      <c r="M47" s="3" t="str">
        <f>IF(Table1[[#This Row],[production_budget]]="null","TV Show","Movie")</f>
        <v>TV Show</v>
      </c>
    </row>
    <row r="48" spans="1:13" x14ac:dyDescent="0.25">
      <c r="A48" t="s">
        <v>60</v>
      </c>
      <c r="B48" t="s">
        <v>43</v>
      </c>
      <c r="C48" s="1">
        <v>45098</v>
      </c>
      <c r="D48" s="5">
        <v>53</v>
      </c>
      <c r="E48" s="5">
        <v>44</v>
      </c>
      <c r="F48" t="s">
        <v>84</v>
      </c>
      <c r="G48" s="2" t="s">
        <v>84</v>
      </c>
      <c r="H48" s="3" t="s">
        <v>84</v>
      </c>
      <c r="I48" s="3" t="s">
        <v>84</v>
      </c>
      <c r="J48" s="2" t="s">
        <v>84</v>
      </c>
      <c r="K48" s="3" t="str">
        <f>IFERROR(Table1[[#This Row],[worldwide_box_office]]-Table1[[#This Row],[production_budget]],"null")</f>
        <v>null</v>
      </c>
      <c r="L48" s="9" t="str">
        <f>IFERROR(Table1[[#This Row],[net_profit]]/Table1[[#This Row],[production_budget]],"null")</f>
        <v>null</v>
      </c>
      <c r="M48" s="3" t="str">
        <f>IF(Table1[[#This Row],[production_budget]]="null","TV Show","Movie")</f>
        <v>TV Show</v>
      </c>
    </row>
    <row r="49" spans="1:13" x14ac:dyDescent="0.25">
      <c r="A49" t="s">
        <v>61</v>
      </c>
      <c r="B49" t="s">
        <v>43</v>
      </c>
      <c r="C49" s="1">
        <v>45204</v>
      </c>
      <c r="D49" s="5">
        <v>82</v>
      </c>
      <c r="E49" s="5">
        <v>86</v>
      </c>
      <c r="F49" t="s">
        <v>84</v>
      </c>
      <c r="G49" s="2" t="s">
        <v>84</v>
      </c>
      <c r="H49" s="3" t="s">
        <v>84</v>
      </c>
      <c r="I49" s="3" t="s">
        <v>84</v>
      </c>
      <c r="J49" s="2" t="s">
        <v>84</v>
      </c>
      <c r="K49" s="3" t="str">
        <f>IFERROR(Table1[[#This Row],[worldwide_box_office]]-Table1[[#This Row],[production_budget]],"null")</f>
        <v>null</v>
      </c>
      <c r="L49" s="9" t="str">
        <f>IFERROR(Table1[[#This Row],[net_profit]]/Table1[[#This Row],[production_budget]],"null")</f>
        <v>null</v>
      </c>
      <c r="M49" s="3" t="str">
        <f>IF(Table1[[#This Row],[production_budget]]="null","TV Show","Movie")</f>
        <v>TV Show</v>
      </c>
    </row>
    <row r="50" spans="1:13" x14ac:dyDescent="0.25">
      <c r="A50" t="s">
        <v>62</v>
      </c>
      <c r="B50" t="s">
        <v>43</v>
      </c>
      <c r="C50" s="1">
        <v>45282</v>
      </c>
      <c r="D50" s="5">
        <v>87</v>
      </c>
      <c r="E50" s="5">
        <v>76</v>
      </c>
      <c r="F50" t="s">
        <v>84</v>
      </c>
      <c r="G50" s="2" t="s">
        <v>84</v>
      </c>
      <c r="H50" s="3" t="s">
        <v>84</v>
      </c>
      <c r="I50" s="3" t="s">
        <v>84</v>
      </c>
      <c r="J50" s="2" t="s">
        <v>84</v>
      </c>
      <c r="K50" s="3" t="str">
        <f>IFERROR(Table1[[#This Row],[worldwide_box_office]]-Table1[[#This Row],[production_budget]],"null")</f>
        <v>null</v>
      </c>
      <c r="L50" s="9" t="str">
        <f>IFERROR(Table1[[#This Row],[net_profit]]/Table1[[#This Row],[production_budget]],"null")</f>
        <v>null</v>
      </c>
      <c r="M50" s="3" t="str">
        <f>IF(Table1[[#This Row],[production_budget]]="null","TV Show","Movie")</f>
        <v>TV Show</v>
      </c>
    </row>
    <row r="51" spans="1:13" x14ac:dyDescent="0.25">
      <c r="A51" t="s">
        <v>63</v>
      </c>
      <c r="B51" t="s">
        <v>43</v>
      </c>
      <c r="C51" s="1">
        <v>45300</v>
      </c>
      <c r="D51" s="5">
        <v>70</v>
      </c>
      <c r="E51" s="5">
        <v>61</v>
      </c>
      <c r="F51" t="s">
        <v>84</v>
      </c>
      <c r="G51" s="2" t="s">
        <v>84</v>
      </c>
      <c r="H51" s="3" t="s">
        <v>84</v>
      </c>
      <c r="I51" s="3" t="s">
        <v>84</v>
      </c>
      <c r="J51" s="2" t="s">
        <v>84</v>
      </c>
      <c r="K51" s="3" t="str">
        <f>IFERROR(Table1[[#This Row],[worldwide_box_office]]-Table1[[#This Row],[production_budget]],"null")</f>
        <v>null</v>
      </c>
      <c r="L51" s="9" t="str">
        <f>IFERROR(Table1[[#This Row],[net_profit]]/Table1[[#This Row],[production_budget]],"null")</f>
        <v>null</v>
      </c>
      <c r="M51" s="3" t="str">
        <f>IF(Table1[[#This Row],[production_budget]]="null","TV Show","Movie")</f>
        <v>TV Show</v>
      </c>
    </row>
    <row r="52" spans="1:13" x14ac:dyDescent="0.25">
      <c r="A52" t="s">
        <v>64</v>
      </c>
      <c r="B52" t="s">
        <v>43</v>
      </c>
      <c r="C52" s="1">
        <v>45371</v>
      </c>
      <c r="D52" s="5">
        <v>99</v>
      </c>
      <c r="E52" s="5">
        <v>91</v>
      </c>
      <c r="F52" t="s">
        <v>84</v>
      </c>
      <c r="G52" s="2" t="s">
        <v>84</v>
      </c>
      <c r="H52" s="3" t="s">
        <v>84</v>
      </c>
      <c r="I52" s="3" t="s">
        <v>84</v>
      </c>
      <c r="J52" s="2" t="s">
        <v>84</v>
      </c>
      <c r="K52" s="3" t="str">
        <f>IFERROR(Table1[[#This Row],[worldwide_box_office]]-Table1[[#This Row],[production_budget]],"null")</f>
        <v>null</v>
      </c>
      <c r="L52" s="9" t="str">
        <f>IFERROR(Table1[[#This Row],[net_profit]]/Table1[[#This Row],[production_budget]],"null")</f>
        <v>null</v>
      </c>
      <c r="M52" s="3" t="str">
        <f>IF(Table1[[#This Row],[production_budget]]="null","TV Show","Movie")</f>
        <v>TV Show</v>
      </c>
    </row>
    <row r="53" spans="1:13" x14ac:dyDescent="0.25">
      <c r="A53" t="s">
        <v>65</v>
      </c>
      <c r="B53" t="s">
        <v>43</v>
      </c>
      <c r="C53" s="1">
        <v>45553</v>
      </c>
      <c r="D53" s="5">
        <v>83</v>
      </c>
      <c r="E53" s="5">
        <v>81</v>
      </c>
      <c r="F53" t="s">
        <v>84</v>
      </c>
      <c r="G53" s="2" t="s">
        <v>84</v>
      </c>
      <c r="H53" s="3" t="s">
        <v>84</v>
      </c>
      <c r="I53" s="3" t="s">
        <v>84</v>
      </c>
      <c r="J53" s="2" t="s">
        <v>84</v>
      </c>
      <c r="K53" s="3" t="str">
        <f>IFERROR(Table1[[#This Row],[worldwide_box_office]]-Table1[[#This Row],[production_budget]],"null")</f>
        <v>null</v>
      </c>
      <c r="L53" s="9" t="str">
        <f>IFERROR(Table1[[#This Row],[net_profit]]/Table1[[#This Row],[production_budget]],"null")</f>
        <v>null</v>
      </c>
      <c r="M53" s="3" t="str">
        <f>IF(Table1[[#This Row],[production_budget]]="null","TV Show","Movie")</f>
        <v>TV Show</v>
      </c>
    </row>
    <row r="54" spans="1:13" x14ac:dyDescent="0.25">
      <c r="A54" t="s">
        <v>66</v>
      </c>
      <c r="B54" t="s">
        <v>43</v>
      </c>
      <c r="C54" s="1">
        <v>45686</v>
      </c>
      <c r="D54" s="5">
        <v>97</v>
      </c>
      <c r="E54" s="5">
        <v>62</v>
      </c>
      <c r="F54" t="s">
        <v>84</v>
      </c>
      <c r="G54" s="2" t="s">
        <v>84</v>
      </c>
      <c r="H54" s="3" t="s">
        <v>84</v>
      </c>
      <c r="I54" s="3" t="s">
        <v>84</v>
      </c>
      <c r="J54" s="2" t="s">
        <v>84</v>
      </c>
      <c r="K54" s="3" t="str">
        <f>IFERROR(Table1[[#This Row],[worldwide_box_office]]-Table1[[#This Row],[production_budget]],"null")</f>
        <v>null</v>
      </c>
      <c r="L54" s="9" t="str">
        <f>IFERROR(Table1[[#This Row],[net_profit]]/Table1[[#This Row],[production_budget]],"null")</f>
        <v>null</v>
      </c>
      <c r="M54" s="3" t="str">
        <f>IF(Table1[[#This Row],[production_budget]]="null","TV Show","Movie")</f>
        <v>TV Show</v>
      </c>
    </row>
    <row r="55" spans="1:13" x14ac:dyDescent="0.25">
      <c r="A55" t="s">
        <v>67</v>
      </c>
      <c r="B55" t="s">
        <v>43</v>
      </c>
      <c r="C55" s="1">
        <v>45720</v>
      </c>
      <c r="D55" s="5">
        <v>86</v>
      </c>
      <c r="E55" s="5">
        <v>88</v>
      </c>
      <c r="F55" t="s">
        <v>84</v>
      </c>
      <c r="G55" s="2" t="s">
        <v>84</v>
      </c>
      <c r="H55" s="3" t="s">
        <v>84</v>
      </c>
      <c r="I55" s="3" t="s">
        <v>84</v>
      </c>
      <c r="J55" s="2" t="s">
        <v>84</v>
      </c>
      <c r="K55" s="3" t="str">
        <f>IFERROR(Table1[[#This Row],[worldwide_box_office]]-Table1[[#This Row],[production_budget]],"null")</f>
        <v>null</v>
      </c>
      <c r="L55" s="9" t="str">
        <f>IFERROR(Table1[[#This Row],[net_profit]]/Table1[[#This Row],[production_budget]],"null")</f>
        <v>null</v>
      </c>
      <c r="M55" s="3" t="str">
        <f>IF(Table1[[#This Row],[production_budget]]="null","TV Show","Movie")</f>
        <v>TV Show</v>
      </c>
    </row>
    <row r="56" spans="1:13" x14ac:dyDescent="0.25">
      <c r="A56" t="s">
        <v>68</v>
      </c>
      <c r="B56" t="s">
        <v>43</v>
      </c>
      <c r="C56" s="1">
        <v>45832</v>
      </c>
      <c r="D56" s="5">
        <v>76</v>
      </c>
      <c r="E56" s="5">
        <v>46</v>
      </c>
      <c r="F56" t="s">
        <v>84</v>
      </c>
      <c r="G56" s="2" t="s">
        <v>84</v>
      </c>
      <c r="H56" s="3" t="s">
        <v>84</v>
      </c>
      <c r="I56" s="3" t="s">
        <v>84</v>
      </c>
      <c r="J56" s="2" t="s">
        <v>84</v>
      </c>
      <c r="K56" s="3" t="str">
        <f>IFERROR(Table1[[#This Row],[worldwide_box_office]]-Table1[[#This Row],[production_budget]],"null")</f>
        <v>null</v>
      </c>
      <c r="L56" s="9" t="str">
        <f>IFERROR(Table1[[#This Row],[net_profit]]/Table1[[#This Row],[production_budget]],"null")</f>
        <v>null</v>
      </c>
      <c r="M56" s="3" t="str">
        <f>IF(Table1[[#This Row],[production_budget]]="null","TV Show","Movie")</f>
        <v>TV Show</v>
      </c>
    </row>
    <row r="57" spans="1:13" x14ac:dyDescent="0.25">
      <c r="A57" t="s">
        <v>69</v>
      </c>
      <c r="B57" t="s">
        <v>43</v>
      </c>
      <c r="C57" s="1">
        <v>45875</v>
      </c>
      <c r="D57" s="5">
        <v>92</v>
      </c>
      <c r="E57" s="5">
        <v>51</v>
      </c>
      <c r="F57" t="s">
        <v>84</v>
      </c>
      <c r="G57" s="2" t="s">
        <v>84</v>
      </c>
      <c r="H57" s="3" t="s">
        <v>84</v>
      </c>
      <c r="I57" s="3" t="s">
        <v>84</v>
      </c>
      <c r="J57" s="2" t="s">
        <v>84</v>
      </c>
      <c r="K57" s="3" t="str">
        <f>IFERROR(Table1[[#This Row],[worldwide_box_office]]-Table1[[#This Row],[production_budget]],"null")</f>
        <v>null</v>
      </c>
      <c r="L57" s="9" t="str">
        <f>IFERROR(Table1[[#This Row],[net_profit]]/Table1[[#This Row],[production_budget]],"null")</f>
        <v>null</v>
      </c>
      <c r="M57" s="3" t="str">
        <f>IF(Table1[[#This Row],[production_budget]]="null","TV Show","Movie")</f>
        <v>TV Show</v>
      </c>
    </row>
    <row r="58" spans="1:13" x14ac:dyDescent="0.25">
      <c r="A58" t="s">
        <v>70</v>
      </c>
      <c r="B58" t="s">
        <v>43</v>
      </c>
      <c r="C58" s="1">
        <v>45924</v>
      </c>
      <c r="D58" s="5">
        <v>67</v>
      </c>
      <c r="E58" s="5">
        <v>75</v>
      </c>
      <c r="F58" t="s">
        <v>84</v>
      </c>
      <c r="G58" s="2" t="s">
        <v>84</v>
      </c>
      <c r="H58" s="3" t="s">
        <v>84</v>
      </c>
      <c r="I58" s="3" t="s">
        <v>84</v>
      </c>
      <c r="J58" s="2" t="s">
        <v>84</v>
      </c>
      <c r="K58" s="3" t="str">
        <f>IFERROR(Table1[[#This Row],[worldwide_box_office]]-Table1[[#This Row],[production_budget]],"null")</f>
        <v>null</v>
      </c>
      <c r="L58" s="9" t="str">
        <f>IFERROR(Table1[[#This Row],[net_profit]]/Table1[[#This Row],[production_budget]],"null")</f>
        <v>null</v>
      </c>
      <c r="M58" s="3" t="str">
        <f>IF(Table1[[#This Row],[production_budget]]="null","TV Show","Movie")</f>
        <v>TV Show</v>
      </c>
    </row>
    <row r="59" spans="1:13" x14ac:dyDescent="0.25">
      <c r="A59" t="s">
        <v>71</v>
      </c>
      <c r="B59" t="s">
        <v>50</v>
      </c>
      <c r="C59" s="1">
        <v>46049</v>
      </c>
      <c r="D59" s="5">
        <v>91</v>
      </c>
      <c r="E59" s="5">
        <v>82</v>
      </c>
      <c r="F59" t="s">
        <v>84</v>
      </c>
      <c r="G59" s="2" t="s">
        <v>84</v>
      </c>
      <c r="H59" s="3" t="s">
        <v>84</v>
      </c>
      <c r="I59" s="3" t="s">
        <v>84</v>
      </c>
      <c r="J59" s="2" t="s">
        <v>84</v>
      </c>
      <c r="K59" s="3" t="str">
        <f>IFERROR(Table1[[#This Row],[worldwide_box_office]]-Table1[[#This Row],[production_budget]],"null")</f>
        <v>null</v>
      </c>
      <c r="L59" s="9" t="str">
        <f>IFERROR(Table1[[#This Row],[net_profit]]/Table1[[#This Row],[production_budget]],"null")</f>
        <v>null</v>
      </c>
      <c r="M59" s="3" t="str">
        <f>IF(Table1[[#This Row],[production_budget]]="null","TV Show","Movie")</f>
        <v>TV Show</v>
      </c>
    </row>
    <row r="60" spans="1:13" x14ac:dyDescent="0.25">
      <c r="A60" t="s">
        <v>72</v>
      </c>
      <c r="B60" t="s">
        <v>50</v>
      </c>
      <c r="C60" s="1">
        <v>46266</v>
      </c>
      <c r="D60" s="5">
        <v>95</v>
      </c>
      <c r="E60" s="5">
        <v>65</v>
      </c>
      <c r="F60" t="s">
        <v>84</v>
      </c>
      <c r="G60" s="2" t="s">
        <v>84</v>
      </c>
      <c r="H60" s="3" t="s">
        <v>84</v>
      </c>
      <c r="I60" s="3" t="s">
        <v>84</v>
      </c>
      <c r="J60" s="2" t="s">
        <v>84</v>
      </c>
      <c r="K60" s="3" t="str">
        <f>IFERROR(Table1[[#This Row],[worldwide_box_office]]-Table1[[#This Row],[production_budget]],"null")</f>
        <v>null</v>
      </c>
      <c r="L60" s="9" t="str">
        <f>IFERROR(Table1[[#This Row],[net_profit]]/Table1[[#This Row],[production_budget]],"null")</f>
        <v>null</v>
      </c>
      <c r="M60" s="3" t="str">
        <f>IF(Table1[[#This Row],[production_budget]]="null","TV Show","Movie")</f>
        <v>TV Show</v>
      </c>
    </row>
    <row r="61" spans="1:13" x14ac:dyDescent="0.25">
      <c r="A61" t="s">
        <v>73</v>
      </c>
      <c r="B61" t="s">
        <v>50</v>
      </c>
      <c r="C61" s="1">
        <v>46105</v>
      </c>
      <c r="D61" s="5">
        <v>90</v>
      </c>
      <c r="E61" s="5">
        <v>89</v>
      </c>
      <c r="F61" t="s">
        <v>84</v>
      </c>
      <c r="G61" s="2" t="s">
        <v>84</v>
      </c>
      <c r="H61" s="3" t="s">
        <v>84</v>
      </c>
      <c r="I61" s="3" t="s">
        <v>84</v>
      </c>
      <c r="J61" s="2" t="s">
        <v>84</v>
      </c>
      <c r="K61" s="3" t="str">
        <f>IFERROR(Table1[[#This Row],[worldwide_box_office]]-Table1[[#This Row],[production_budget]],"null")</f>
        <v>null</v>
      </c>
      <c r="L61" s="9" t="str">
        <f>IFERROR(Table1[[#This Row],[net_profit]]/Table1[[#This Row],[production_budget]],"null")</f>
        <v>null</v>
      </c>
      <c r="M61" s="3" t="str">
        <f>IF(Table1[[#This Row],[production_budget]]="null","TV Show","Movie")</f>
        <v>TV Show</v>
      </c>
    </row>
    <row r="62" spans="1:13" x14ac:dyDescent="0.25">
      <c r="A62" t="s">
        <v>74</v>
      </c>
      <c r="B62" t="s">
        <v>50</v>
      </c>
      <c r="C62" s="1">
        <v>46154</v>
      </c>
      <c r="D62" s="5">
        <v>87</v>
      </c>
      <c r="E62" s="5">
        <v>90</v>
      </c>
      <c r="F62" t="s">
        <v>84</v>
      </c>
      <c r="G62" s="2" t="s">
        <v>84</v>
      </c>
      <c r="H62" s="3" t="s">
        <v>84</v>
      </c>
      <c r="I62" s="3" t="s">
        <v>84</v>
      </c>
      <c r="J62" s="2" t="s">
        <v>84</v>
      </c>
      <c r="K62" s="3" t="str">
        <f>IFERROR(Table1[[#This Row],[worldwide_box_office]]-Table1[[#This Row],[production_budget]],"null")</f>
        <v>null</v>
      </c>
      <c r="L62" s="9" t="str">
        <f>IFERROR(Table1[[#This Row],[net_profit]]/Table1[[#This Row],[production_budget]],"null")</f>
        <v>null</v>
      </c>
      <c r="M62" s="3" t="str">
        <f>IF(Table1[[#This Row],[production_budget]]="null","TV Show","Movie")</f>
        <v>TV Show</v>
      </c>
    </row>
    <row r="63" spans="1:13" x14ac:dyDescent="0.25">
      <c r="A63" t="s">
        <v>75</v>
      </c>
      <c r="B63" t="s">
        <v>50</v>
      </c>
      <c r="C63" s="1">
        <v>46235</v>
      </c>
      <c r="D63" s="5">
        <v>96</v>
      </c>
      <c r="E63" s="5">
        <v>92</v>
      </c>
      <c r="F63" t="s">
        <v>84</v>
      </c>
      <c r="G63" s="2" t="s">
        <v>84</v>
      </c>
      <c r="H63" s="3" t="s">
        <v>84</v>
      </c>
      <c r="I63" s="3" t="s">
        <v>84</v>
      </c>
      <c r="J63" s="2" t="s">
        <v>84</v>
      </c>
      <c r="K63" s="3" t="str">
        <f>IFERROR(Table1[[#This Row],[worldwide_box_office]]-Table1[[#This Row],[production_budget]],"null")</f>
        <v>null</v>
      </c>
      <c r="L63" s="9" t="str">
        <f>IFERROR(Table1[[#This Row],[net_profit]]/Table1[[#This Row],[production_budget]],"null")</f>
        <v>null</v>
      </c>
      <c r="M63" s="3" t="str">
        <f>IF(Table1[[#This Row],[production_budget]]="null","TV Show","Movie")</f>
        <v>TV Show</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26EAE-ED5D-4BC6-A121-76FB110DD41C}">
  <dimension ref="A1:U11"/>
  <sheetViews>
    <sheetView workbookViewId="0">
      <selection activeCell="C16" sqref="C16"/>
    </sheetView>
  </sheetViews>
  <sheetFormatPr defaultRowHeight="15" x14ac:dyDescent="0.25"/>
  <cols>
    <col min="1" max="1" width="7.42578125" style="4" customWidth="1"/>
  </cols>
  <sheetData>
    <row r="1" spans="1:21" x14ac:dyDescent="0.25">
      <c r="A1" s="14" t="s">
        <v>76</v>
      </c>
      <c r="B1" s="14"/>
    </row>
    <row r="2" spans="1:21" x14ac:dyDescent="0.25">
      <c r="A2" s="4" t="s">
        <v>77</v>
      </c>
      <c r="B2" t="s">
        <v>80</v>
      </c>
    </row>
    <row r="3" spans="1:21" x14ac:dyDescent="0.25">
      <c r="A3" s="4">
        <v>1</v>
      </c>
      <c r="B3" s="17" t="s">
        <v>78</v>
      </c>
      <c r="C3" s="17"/>
      <c r="D3" s="17"/>
      <c r="E3" s="17"/>
      <c r="F3" s="17"/>
    </row>
    <row r="4" spans="1:21" x14ac:dyDescent="0.25">
      <c r="A4" s="4">
        <v>2</v>
      </c>
      <c r="B4" s="17" t="s">
        <v>79</v>
      </c>
      <c r="C4" s="17"/>
      <c r="D4" s="17"/>
      <c r="E4" s="17"/>
      <c r="F4" s="17"/>
      <c r="G4" s="17"/>
      <c r="H4" s="17"/>
      <c r="I4" s="17"/>
      <c r="J4" s="17"/>
      <c r="K4" s="17"/>
      <c r="L4" s="17"/>
      <c r="M4" s="17"/>
      <c r="N4" s="17"/>
      <c r="O4" s="17"/>
      <c r="P4" s="17"/>
      <c r="Q4" s="17"/>
      <c r="R4" s="17"/>
    </row>
    <row r="5" spans="1:21" x14ac:dyDescent="0.25">
      <c r="A5" s="4">
        <v>3</v>
      </c>
      <c r="B5" s="17" t="s">
        <v>81</v>
      </c>
      <c r="C5" s="17"/>
      <c r="D5" s="17"/>
      <c r="E5" s="17"/>
      <c r="F5" s="17"/>
      <c r="G5" s="17"/>
      <c r="H5" s="17"/>
      <c r="I5" s="17"/>
      <c r="J5" s="17"/>
      <c r="K5" s="17"/>
      <c r="L5" s="17"/>
      <c r="M5" s="17"/>
      <c r="N5" s="17"/>
    </row>
    <row r="6" spans="1:21" x14ac:dyDescent="0.25">
      <c r="A6" s="4">
        <v>4</v>
      </c>
      <c r="B6" s="17" t="s">
        <v>109</v>
      </c>
      <c r="C6" s="17"/>
      <c r="D6" s="17"/>
      <c r="E6" s="17"/>
      <c r="F6" s="17"/>
      <c r="G6" s="17"/>
      <c r="H6" s="17"/>
      <c r="I6" s="17"/>
      <c r="J6" s="17"/>
      <c r="K6" s="17"/>
      <c r="L6" s="17"/>
      <c r="M6" s="17"/>
      <c r="N6" s="17"/>
      <c r="O6" s="17"/>
      <c r="P6" s="17"/>
      <c r="Q6" s="17"/>
      <c r="R6" s="17"/>
      <c r="S6" s="17"/>
      <c r="T6" s="17"/>
      <c r="U6" s="17"/>
    </row>
    <row r="7" spans="1:21" x14ac:dyDescent="0.25">
      <c r="A7" s="4">
        <v>5</v>
      </c>
      <c r="B7" s="17" t="s">
        <v>85</v>
      </c>
      <c r="C7" s="17"/>
      <c r="D7" s="17"/>
      <c r="E7" s="17"/>
      <c r="F7" s="17"/>
      <c r="G7" s="17"/>
      <c r="H7" s="17"/>
      <c r="I7" s="17"/>
      <c r="J7" s="17"/>
      <c r="K7" s="17"/>
      <c r="L7" s="17"/>
      <c r="M7" s="17"/>
      <c r="N7" s="17"/>
      <c r="O7" s="17"/>
      <c r="P7" s="17"/>
    </row>
    <row r="8" spans="1:21" x14ac:dyDescent="0.25">
      <c r="A8" s="4">
        <v>6</v>
      </c>
      <c r="B8" s="17" t="s">
        <v>86</v>
      </c>
      <c r="C8" s="17"/>
      <c r="D8" s="17"/>
      <c r="E8" s="17"/>
      <c r="F8" s="17"/>
      <c r="G8" s="17"/>
      <c r="H8" s="17"/>
      <c r="I8" s="17"/>
      <c r="J8" s="17"/>
      <c r="K8" s="17"/>
      <c r="L8" s="17"/>
      <c r="M8" s="17"/>
      <c r="N8" s="17"/>
      <c r="O8" s="17"/>
      <c r="P8" s="17"/>
      <c r="Q8" s="17"/>
      <c r="R8" s="17"/>
    </row>
    <row r="9" spans="1:21" x14ac:dyDescent="0.25">
      <c r="A9" s="4">
        <v>7</v>
      </c>
      <c r="B9" s="17" t="s">
        <v>95</v>
      </c>
      <c r="C9" s="17"/>
      <c r="D9" s="17"/>
      <c r="E9" s="17"/>
      <c r="F9" s="17"/>
      <c r="G9" s="17"/>
      <c r="H9" s="17"/>
      <c r="I9" s="17"/>
      <c r="J9" s="17"/>
      <c r="K9" s="17"/>
      <c r="L9" s="17"/>
      <c r="M9" s="17"/>
      <c r="N9" s="17"/>
      <c r="O9" s="17"/>
      <c r="P9" s="17"/>
      <c r="Q9" s="17"/>
    </row>
    <row r="10" spans="1:21" x14ac:dyDescent="0.25">
      <c r="A10" s="4">
        <v>8</v>
      </c>
      <c r="B10" s="17" t="s">
        <v>96</v>
      </c>
      <c r="C10" s="17"/>
      <c r="D10" s="17"/>
      <c r="E10" s="17"/>
      <c r="F10" s="17"/>
      <c r="G10" s="17"/>
      <c r="H10" s="17"/>
      <c r="I10" s="17"/>
      <c r="J10" s="17"/>
      <c r="K10" s="17"/>
      <c r="L10" s="17"/>
      <c r="M10" s="17"/>
      <c r="N10" s="17"/>
      <c r="O10" s="17"/>
      <c r="P10" s="17"/>
      <c r="Q10" s="17"/>
      <c r="R10" s="17"/>
      <c r="S10" s="17"/>
      <c r="T10" s="17"/>
    </row>
    <row r="11" spans="1:21" x14ac:dyDescent="0.25">
      <c r="A11" s="4">
        <v>9</v>
      </c>
      <c r="B11" s="17" t="s">
        <v>110</v>
      </c>
      <c r="C11" s="17"/>
      <c r="D11" s="17"/>
      <c r="E11" s="17"/>
      <c r="F11" s="17"/>
      <c r="G11" s="17"/>
      <c r="H11" s="17"/>
      <c r="I11" s="17"/>
      <c r="J11" s="17"/>
      <c r="K11" s="17"/>
      <c r="L11" s="17"/>
      <c r="M11" s="17"/>
      <c r="N11" s="17"/>
    </row>
  </sheetData>
  <mergeCells count="10">
    <mergeCell ref="B7:P7"/>
    <mergeCell ref="B8:R8"/>
    <mergeCell ref="B9:Q9"/>
    <mergeCell ref="B10:T10"/>
    <mergeCell ref="B11:N11"/>
    <mergeCell ref="A1:B1"/>
    <mergeCell ref="B3:F3"/>
    <mergeCell ref="B4:R4"/>
    <mergeCell ref="B5:N5"/>
    <mergeCell ref="B6:U6"/>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9BF1BC-7659-4159-AC89-01218F992F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Calculations</vt:lpstr>
      <vt:lpstr>mcu_cleaned</vt:lpstr>
      <vt:lpstr>mcu</vt:lpstr>
      <vt:lpstr>Data_Cleaning_Report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Favour Enefola</dc:creator>
  <cp:lastModifiedBy>Favour Enefola</cp:lastModifiedBy>
  <cp:lastPrinted>2026-09-25T01:38:25Z</cp:lastPrinted>
  <dcterms:created xsi:type="dcterms:W3CDTF">2026-09-20T11:59:41Z</dcterms:created>
  <dcterms:modified xsi:type="dcterms:W3CDTF">2026-09-25T01:44:52Z</dcterms:modified>
</cp:coreProperties>
</file>